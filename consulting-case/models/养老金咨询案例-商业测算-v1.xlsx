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5a32281d044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决策摘要" sheetId="1" r:id="Rbe9d32b775d2416e"/>
    <x:sheet xmlns:r="http://schemas.openxmlformats.org/officeDocument/2006/relationships" name="测算与敏感性" sheetId="2" r:id="R91b7569d166444dc"/>
    <x:sheet xmlns:r="http://schemas.openxmlformats.org/officeDocument/2006/relationships" name="原始依据" sheetId="3" r:id="R85d82d1504674cea"/>
    <x:sheet xmlns:r="http://schemas.openxmlformats.org/officeDocument/2006/relationships" name="单位贡献拆分" sheetId="4" r:id="Rc3f13c7206484316"/>
    <x:sheet xmlns:r="http://schemas.openxmlformats.org/officeDocument/2006/relationships" name="成本口径" sheetId="5" r:id="Rded58aba033c40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;(#,##0);&quot;—&quot;"/>
    <x:numFmt numFmtId="201" formatCode="0.00%;(0.00%);&quot;—&quot;"/>
    <x:numFmt numFmtId="202" formatCode="0.00"/>
    <x:numFmt numFmtId="203" formatCode="0.00;(0.00);&quot;—&quot;"/>
    <x:numFmt numFmtId="204" formatCode=";;;"/>
    <x:numFmt numFmtId="205" formatCode="0%"/>
    <x:numFmt numFmtId="206" formatCode="#,##0.00;(#,##0.00);&quot;—&quot;"/>
  </x:numFmts>
  <x:fonts count="9">
    <x:font>
      <x:sz val="11"/>
      <x:name val="Carlito"/>
    </x:font>
    <x:font>
      <x:sz val="11"/>
      <x:color rgb="FF203550"/>
      <x:name val="Arial"/>
    </x:font>
    <x:font>
      <x:b/>
      <x:sz val="16"/>
      <x:color rgb="FF203550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sz val="11"/>
      <x:color rgb="FF0000FF"/>
      <x:name val="Arial"/>
    </x:font>
    <x:font>
      <x:b/>
      <x:sz val="11"/>
      <x:color rgb="FF203550"/>
      <x:name val="Arial"/>
    </x:font>
    <x:font>
      <x:b/>
      <x:sz val="11"/>
      <x:color rgb="FF000000"/>
      <x:name val="Arial"/>
    </x:font>
    <x:font>
      <x:sz val="11"/>
      <x:color rgb="FF008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550"/>
      </x:patternFill>
    </x:fill>
    <x:fill>
      <x:patternFill patternType="solid">
        <x:fgColor rgb="FFFFF2CC"/>
      </x:patternFill>
    </x:fill>
    <x:fill>
      <x:patternFill patternType="solid">
        <x:fgColor rgb="FFEAF0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200" fontId="6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0"/>
    </x:xf>
    <x:xf numFmtId="206" fontId="5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6" fontId="4" fillId="4" borderId="0" xfId="0" applyNumberFormat="1" applyFont="1" applyFill="1" applyBorder="1" applyAlignment="1">
      <x:alignment vertical="center"/>
    </x:xf>
    <x:xf numFmtId="206" fontId="7" fillId="4" borderId="0" xfId="0" applyNumberFormat="1" applyFont="1" applyFill="1" applyBorder="1" applyAlignment="1">
      <x:alignment vertical="center"/>
    </x:xf>
    <x:xf numFmtId="206" fontId="8" fillId="4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color rgb="FFA61C1C"/>
      </x:font>
      <x:fill>
        <x:patternFill patternType="solid">
          <x:bgColor rgb="FFFCE4E4"/>
        </x:patternFill>
      </x:fill>
    </x:dxf>
    <x:dxf>
      <x:fill>
        <x:patternFill patternType="solid">
          <x:bgColor rgb="FFE8F2E9"/>
        </x:patternFill>
      </x:fill>
    </x:dxf>
    <x:dxf>
      <x:font>
        <x:color rgb="FFA61C1C"/>
      </x:font>
      <x:fill>
        <x:patternFill patternType="solid">
          <x:bgColor rgb="FFFCE4E4"/>
        </x:patternFill>
      </x:fill>
    </x:dxf>
    <x:dxf>
      <x:font>
        <x:b/>
        <x:color rgb="FFA61C1C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54db67ce074f61" /><Relationship Type="http://schemas.openxmlformats.org/officeDocument/2006/relationships/theme" Target="/xl/theme/theme1.xml" Id="R9c86ff46005b4d4f" /><Relationship Type="http://schemas.openxmlformats.org/officeDocument/2006/relationships/sharedStrings" Target="/xl/sharedStrings.xml" Id="R50148be8a1bf4eca" /><Relationship Type="http://schemas.openxmlformats.org/officeDocument/2006/relationships/worksheet" Target="/xl/worksheets/sheet1.xml" Id="Rbe9d32b775d2416e" /><Relationship Type="http://schemas.openxmlformats.org/officeDocument/2006/relationships/worksheet" Target="/xl/worksheets/sheet2.xml" Id="R91b7569d166444dc" /><Relationship Type="http://schemas.openxmlformats.org/officeDocument/2006/relationships/worksheet" Target="/xl/worksheets/sheet3.xml" Id="R85d82d1504674cea" /><Relationship Type="http://schemas.openxmlformats.org/officeDocument/2006/relationships/worksheet" Target="/xl/worksheets/sheet4.xml" Id="Rc3f13c7206484316" /><Relationship Type="http://schemas.openxmlformats.org/officeDocument/2006/relationships/worksheet" Target="/xl/worksheets/sheet5.xml" Id="Rded58aba033c40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550"/>
  </x:sheetPr>
  <x:sheetViews>
    <x:sheetView showGridLines="0" workbookViewId="0"/>
  </x:sheetViews>
  <x:sheetFormatPr defaultRowHeight="15"/>
  <x:cols>
    <x:col min="1" max="1" width="36" hidden="0" customWidth="1"/>
    <x:col min="2" max="2" width="31" hidden="0" customWidth="1"/>
    <x:col min="3" max="3" width="25" hidden="0" customWidth="1"/>
    <x:col min="4" max="4" width="6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个人养老金服务投入判断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 t="str">
        <x:v>计算口径</x:v>
      </x:c>
      <x:c r="B3" s="29" t="str">
        <x:f>'测算与敏感性'!D3</x:f>
        <x:v>原方案情景</x:v>
      </x:c>
      <x:c r="C3" s="2"/>
      <x:c r="D3" s="2"/>
      <x:c r="E3" s="2"/>
      <x:c r="F3" s="2"/>
      <x:c r="G3" s="2"/>
      <x:c r="H3" s="2"/>
      <x:c r="I3" s="2"/>
    </x:row>
    <x:row r="4" ht="28" customHeight="1">
      <x:c r="A4" s="2" t="str">
        <x:v>2026.10.09 独立咨询案例。默认值为模拟情景；B−A缺数，T−B结果不代表真实服务效果。</x:v>
      </x:c>
      <x:c r="B4" s="2"/>
      <x:c r="C4" s="2"/>
      <x:c r="D4" s="2"/>
      <x:c r="E4" s="2"/>
      <x:c r="F4" s="2"/>
      <x:c r="G4" s="2"/>
      <x:c r="H4" s="2"/>
      <x:c r="I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6" t="str">
        <x:v>指标</x:v>
      </x:c>
      <x:c r="B6" s="6" t="str">
        <x:v>B−A 说明入口</x:v>
      </x:c>
      <x:c r="C6" s="6" t="str">
        <x:v>T−B 主动联系</x:v>
      </x:c>
      <x:c r="D6" s="6" t="str">
        <x:v>解释</x:v>
      </x:c>
      <x:c r="E6" s="2"/>
      <x:c r="F6" s="2"/>
      <x:c r="G6" s="2"/>
      <x:c r="H6" s="2"/>
      <x:c r="I6" s="2"/>
    </x:row>
    <x:row r="7" ht="50" customHeight="1">
      <x:c r="A7" s="12" t="str">
        <x:v>输入状态</x:v>
      </x:c>
      <x:c r="B7" s="12" t="str">
        <x:f>'测算与敏感性'!C18</x:f>
        <x:v>缺少参数</x:v>
      </x:c>
      <x:c r="C7" s="12" t="str">
        <x:f>'测算与敏感性'!D18</x:f>
        <x:v>完整</x:v>
      </x:c>
      <x:c r="D7" s="12" t="str">
        <x:v>完整性仅指参数，不代表证据已核验</x:v>
      </x:c>
      <x:c r="E7" s="2"/>
      <x:c r="F7" s="2"/>
      <x:c r="G7" s="2"/>
      <x:c r="H7" s="2"/>
      <x:c r="I7" s="2"/>
    </x:row>
    <x:row r="8" ht="50" customHeight="1">
      <x:c r="A8" s="12" t="str">
        <x:v>折算增量首缴人数</x:v>
      </x:c>
      <x:c r="B8" s="33" t="str">
        <x:f>'测算与敏感性'!C20</x:f>
        <x:v>n.a.</x:v>
      </x:c>
      <x:c r="C8" s="33" t="n">
        <x:f>'测算与敏感性'!D20</x:f>
        <x:v>20</x:v>
      </x:c>
      <x:c r="D8" s="12" t="str">
        <x:v>比例差乘比较侧入组人数</x:v>
      </x:c>
      <x:c r="E8" s="2"/>
      <x:c r="F8" s="2"/>
      <x:c r="G8" s="2"/>
      <x:c r="H8" s="2"/>
      <x:c r="I8" s="2"/>
    </x:row>
    <x:row r="9" ht="50" customHeight="1">
      <x:c r="A9" s="12" t="str">
        <x:v>折算增量贡献（元）</x:v>
      </x:c>
      <x:c r="B9" s="33" t="str">
        <x:f>'测算与敏感性'!C21</x:f>
        <x:v>n.a.</x:v>
      </x:c>
      <x:c r="C9" s="33" t="n">
        <x:f>'测算与敏感性'!D21</x:f>
        <x:v>4000</x:v>
      </x:c>
      <x:c r="D9" s="12" t="str">
        <x:v>简化情景，不把缴存额当收入</x:v>
      </x:c>
      <x:c r="E9" s="2"/>
      <x:c r="F9" s="2"/>
      <x:c r="G9" s="2"/>
      <x:c r="H9" s="2"/>
      <x:c r="I9" s="2"/>
    </x:row>
    <x:row r="10" ht="50" customHeight="1">
      <x:c r="A10" s="12" t="str">
        <x:v>新增总成本（元）</x:v>
      </x:c>
      <x:c r="B10" s="33" t="str">
        <x:f>'测算与敏感性'!C29</x:f>
        <x:v>n.a.</x:v>
      </x:c>
      <x:c r="C10" s="33" t="n">
        <x:f>'测算与敏感性'!D29</x:f>
        <x:v>13000</x:v>
      </x:c>
      <x:c r="D10" s="12" t="str">
        <x:v>实际预算范围及分摊待核</x:v>
      </x:c>
      <x:c r="E10" s="2"/>
      <x:c r="F10" s="2"/>
      <x:c r="G10" s="2"/>
      <x:c r="H10" s="2"/>
      <x:c r="I10" s="2"/>
    </x:row>
    <x:row r="11" ht="50" customHeight="1">
      <x:c r="A11" s="34" t="str">
        <x:v>情景净值（元）</x:v>
      </x:c>
      <x:c r="B11" s="35" t="str">
        <x:f>'测算与敏感性'!C31</x:f>
        <x:v>n.a.</x:v>
      </x:c>
      <x:c r="C11" s="35" t="n">
        <x:f>'测算与敏感性'!D31</x:f>
        <x:v>-9000</x:v>
      </x:c>
      <x:c r="D11" s="34" t="str">
        <x:v>增量贡献减新增成本</x:v>
      </x:c>
      <x:c r="E11" s="2"/>
      <x:c r="F11" s="2"/>
      <x:c r="G11" s="2"/>
      <x:c r="H11" s="2"/>
      <x:c r="I11" s="2"/>
    </x:row>
    <x:row r="12" ht="50" customHeight="1">
      <x:c r="A12" s="12" t="str">
        <x:v>盈亏平衡单位贡献（元／人）</x:v>
      </x:c>
      <x:c r="B12" s="33" t="str">
        <x:f>'测算与敏感性'!C34</x:f>
        <x:v>n.a.</x:v>
      </x:c>
      <x:c r="C12" s="33" t="n">
        <x:f>'测算与敏感性'!D34</x:f>
        <x:v>650</x:v>
      </x:c>
      <x:c r="D12" s="12" t="str">
        <x:v>增量≤0时无可解释门槛</x:v>
      </x:c>
      <x:c r="E12" s="2"/>
      <x:c r="F12" s="2"/>
      <x:c r="G12" s="2"/>
      <x:c r="H12" s="2"/>
      <x:c r="I12" s="2"/>
    </x:row>
    <x:row r="13" ht="50" customHeight="1">
      <x:c r="A13" s="12" t="str">
        <x:v>盈亏平衡首缴率差</x:v>
      </x:c>
      <x:c r="B13" s="36" t="str">
        <x:f>'测算与敏感性'!C35</x:f>
        <x:v>n.a.</x:v>
      </x:c>
      <x:c r="C13" s="36" t="n">
        <x:f>'测算与敏感性'!D35</x:f>
        <x:v>0.0013</x:v>
      </x:c>
      <x:c r="D13" s="12" t="str">
        <x:v>成本÷人数÷单位贡献</x:v>
      </x:c>
      <x:c r="E13" s="2"/>
      <x:c r="F13" s="2"/>
      <x:c r="G13" s="2"/>
      <x:c r="H13" s="2"/>
      <x:c r="I13" s="2"/>
    </x:row>
    <x:row r="14" ht="28" customHeight="1">
      <x:c r="A14" s="12"/>
      <x:c r="B14" s="12"/>
      <x:c r="C14" s="12"/>
      <x:c r="D14" s="12"/>
      <x:c r="E14" s="2"/>
      <x:c r="F14" s="2"/>
      <x:c r="G14" s="2"/>
      <x:c r="H14" s="2"/>
      <x:c r="I14" s="2"/>
    </x:row>
    <x:row r="15" ht="28" customHeight="1">
      <x:c r="A15" s="12"/>
      <x:c r="B15" s="12"/>
      <x:c r="C15" s="12"/>
      <x:c r="D15" s="12"/>
      <x:c r="E15" s="2"/>
      <x:c r="F15" s="2"/>
      <x:c r="G15" s="2"/>
      <x:c r="H15" s="2"/>
      <x:c r="I15" s="2"/>
    </x:row>
    <x:row r="16" ht="64" customHeight="1">
      <x:c r="A16" s="12" t="str">
        <x:v>当前经济判断</x:v>
      </x:c>
      <x:c r="B16" s="12" t="str">
        <x:f>IF('测算与敏感性'!D18&lt;&gt;"完整","先补齐或修正参数",IF(C11&lt;=0,"当前情景不支持扩大投入","正净值仅支持继续核验"))</x:f>
        <x:v>当前情景不支持扩大投入</x:v>
      </x:c>
      <x:c r="C16" s="12"/>
      <x:c r="D16" s="12"/>
      <x:c r="E16" s="2"/>
      <x:c r="F16" s="2"/>
      <x:c r="G16" s="2"/>
      <x:c r="H16" s="2"/>
      <x:c r="I16" s="2"/>
    </x:row>
    <x:row r="17" ht="28" customHeight="1">
      <x:c r="A17" s="12"/>
      <x:c r="B17" s="12"/>
      <x:c r="C17" s="12"/>
      <x:c r="D17" s="12"/>
      <x:c r="E17" s="2"/>
      <x:c r="F17" s="2"/>
      <x:c r="G17" s="2"/>
      <x:c r="H17" s="2"/>
      <x:c r="I17" s="2"/>
    </x:row>
    <x:row r="18" ht="32" customHeight="1">
      <x:c r="A18" s="39" t="str">
        <x:v>投入评审前的证据</x:v>
      </x:c>
      <x:c r="B18" s="6" t="str">
        <x:v>核验状态</x:v>
      </x:c>
      <x:c r="C18" s="6"/>
      <x:c r="D18" s="6" t="str">
        <x:v>需要取得的材料</x:v>
      </x:c>
      <x:c r="E18" s="2"/>
      <x:c r="F18" s="2"/>
      <x:c r="G18" s="2"/>
      <x:c r="H18" s="2"/>
      <x:c r="I18" s="2"/>
    </x:row>
    <x:row r="19" ht="50" customHeight="1">
      <x:c r="A19" s="12" t="str">
        <x:v>客群与字段</x:v>
      </x:c>
      <x:c r="B19" s="37" t="str">
        <x:v>待核验</x:v>
      </x:c>
      <x:c r="C19" s="12"/>
      <x:c r="D19" s="12" t="str">
        <x:v>资格、转户、历史缴存、许可与渠道回执</x:v>
      </x:c>
      <x:c r="E19" s="2"/>
      <x:c r="F19" s="2"/>
      <x:c r="G19" s="2"/>
      <x:c r="H19" s="2"/>
      <x:c r="I19" s="2"/>
    </x:row>
    <x:row r="20" ht="50" customHeight="1">
      <x:c r="A20" s="12" t="str">
        <x:v>服务效果</x:v>
      </x:c>
      <x:c r="B20" s="37" t="str">
        <x:v>待核验</x:v>
      </x:c>
      <x:c r="C20" s="12"/>
      <x:c r="D20" s="12" t="str">
        <x:v>真实随机试验、成熟结果、分组差异及不确定性</x:v>
      </x:c>
      <x:c r="E20" s="2"/>
      <x:c r="F20" s="2"/>
      <x:c r="G20" s="2"/>
      <x:c r="H20" s="2"/>
      <x:c r="I20" s="2"/>
    </x:row>
    <x:row r="21" ht="50" customHeight="1">
      <x:c r="A21" s="12" t="str">
        <x:v>成本与贡献口径</x:v>
      </x:c>
      <x:c r="B21" s="37" t="str">
        <x:v>待核验</x:v>
      </x:c>
      <x:c r="C21" s="12"/>
      <x:c r="D21" s="12" t="str">
        <x:v>费用、工时、贡献、分摊、观察范围及替代损失</x:v>
      </x:c>
      <x:c r="E21" s="2"/>
      <x:c r="F21" s="2"/>
      <x:c r="G21" s="2"/>
      <x:c r="H21" s="2"/>
      <x:c r="I21" s="2"/>
    </x:row>
    <x:row r="22" ht="50" customHeight="1">
      <x:c r="A22" s="12" t="str">
        <x:v>客户保护</x:v>
      </x:c>
      <x:c r="B22" s="37" t="str">
        <x:v>待核验</x:v>
      </x:c>
      <x:c r="C22" s="12"/>
      <x:c r="D22" s="12" t="str">
        <x:v>经批准的保护要求、控制测试与事件复核</x:v>
      </x:c>
      <x:c r="E22" s="2"/>
      <x:c r="F22" s="2"/>
      <x:c r="G22" s="2"/>
      <x:c r="H22" s="2"/>
      <x:c r="I22" s="2"/>
    </x:row>
    <x:row r="23" ht="28" customHeight="1">
      <x:c r="A23" s="12"/>
      <x:c r="B23" s="12"/>
      <x:c r="C23" s="12"/>
      <x:c r="D23" s="12"/>
      <x:c r="E23" s="2"/>
      <x:c r="F23" s="2"/>
      <x:c r="G23" s="2"/>
      <x:c r="H23" s="2"/>
      <x:c r="I23" s="2"/>
    </x:row>
    <x:row r="24" ht="64" customHeight="1">
      <x:c r="A24" s="12" t="str">
        <x:v>证据记录提示</x:v>
      </x:c>
      <x:c r="B24" s="38" t="str">
        <x:f>IF(COUNTIFS(B19:B22,"不满足")&gt;0,"存在不满足项，暂停相关策略",IF(COUNTIFS(B19:B22,"待核验")&gt;0,"需补证据，暂不扩大","记录齐全，提交人工复核"))</x:f>
        <x:v>需补证据，暂不扩大</x:v>
      </x:c>
      <x:c r="C24" s="12"/>
      <x:c r="D24" s="12" t="str">
        <x:v>状态只记录工作进度；需保留依据，不代替正式评审。</x:v>
      </x:c>
      <x:c r="E24" s="2"/>
      <x:c r="F24" s="2"/>
      <x:c r="G24" s="2"/>
      <x:c r="H24" s="2"/>
      <x:c r="I24" s="2"/>
    </x:row>
    <x:row r="25" ht="28" customHeight="1">
      <x:c r="A25" s="12"/>
      <x:c r="B25" s="12"/>
      <x:c r="C25" s="12"/>
      <x:c r="D25" s="12"/>
      <x:c r="E25" s="2"/>
      <x:c r="F25" s="2"/>
      <x:c r="G25" s="2"/>
      <x:c r="H25" s="2"/>
      <x:c r="I25" s="2"/>
    </x:row>
    <x:row r="26" ht="28" customHeight="1">
      <x:c r="A26" s="12"/>
      <x:c r="B26" s="12"/>
      <x:c r="C26" s="12"/>
      <x:c r="D26" s="12"/>
      <x:c r="E26" s="2"/>
      <x:c r="F26" s="2"/>
      <x:c r="G26" s="2"/>
      <x:c r="H26" s="2"/>
      <x:c r="I26" s="2"/>
    </x:row>
    <x:row r="27" ht="28" customHeight="1">
      <x:c r="A27" s="12" t="str">
        <x:v>使用顺序</x:v>
      </x:c>
      <x:c r="B27" s="12"/>
      <x:c r="C27" s="12"/>
      <x:c r="D27" s="12"/>
      <x:c r="E27" s="2"/>
      <x:c r="F27" s="2"/>
      <x:c r="G27" s="2"/>
      <x:c r="H27" s="2"/>
      <x:c r="I27" s="2"/>
    </x:row>
    <x:row r="28" ht="50" customHeight="1">
      <x:c r="A28" s="12" t="str">
        <x:v>1</x:v>
      </x:c>
      <x:c r="B28" s="12" t="str">
        <x:v>改参数</x:v>
      </x:c>
      <x:c r="C28" s="12"/>
      <x:c r="D28" s="12" t="str">
        <x:v>D3切换原方案／拆分示例。黄底参数可修改；灰底公式不能手填。</x:v>
      </x:c>
      <x:c r="E28" s="2"/>
      <x:c r="F28" s="2"/>
      <x:c r="G28" s="2"/>
      <x:c r="H28" s="2"/>
      <x:c r="I28" s="2"/>
    </x:row>
    <x:row r="29" ht="50" customHeight="1">
      <x:c r="A29" s="12" t="str">
        <x:v>2</x:v>
      </x:c>
      <x:c r="B29" s="12" t="str">
        <x:v>看敏感性</x:v>
      </x:c>
      <x:c r="C29" s="12"/>
      <x:c r="D29" s="12" t="str">
        <x:v>原方案与拆分例的价值期限尚非同一已核口径，不作实测优劣结论。</x:v>
      </x:c>
      <x:c r="E29" s="2"/>
      <x:c r="F29" s="2"/>
      <x:c r="G29" s="2"/>
      <x:c r="H29" s="2"/>
      <x:c r="I29" s="2"/>
    </x:row>
    <x:row r="30" ht="50" customHeight="1">
      <x:c r="A30" s="12" t="str">
        <x:v>3</x:v>
      </x:c>
      <x:c r="B30" s="12" t="str">
        <x:v>补B−A</x:v>
      </x:c>
      <x:c r="C30" s="12"/>
      <x:c r="D30" s="12" t="str">
        <x:v>单独确认入口建设、运维、服务和效果；不复制T−B假设。</x:v>
      </x:c>
      <x:c r="E30" s="2"/>
      <x:c r="F30" s="2"/>
      <x:c r="G30" s="2"/>
      <x:c r="H30" s="2"/>
      <x:c r="I30" s="2"/>
    </x:row>
    <x:row r="31" ht="50" customHeight="1">
      <x:c r="A31" s="12" t="str">
        <x:v>4</x:v>
      </x:c>
      <x:c r="B31" s="12" t="str">
        <x:v>留证据</x:v>
      </x:c>
      <x:c r="C31" s="12"/>
      <x:c r="D31" s="12" t="str">
        <x:v>填核验状态前保存支持材料；真实审批与案例模拟分开。</x:v>
      </x:c>
      <x:c r="E31" s="2"/>
      <x:c r="F31" s="2"/>
      <x:c r="G31" s="2"/>
      <x:c r="H31" s="2"/>
      <x:c r="I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32" customHeight="1">
      <x:c r="A34" s="6" t="str">
        <x:v>深化分析</x:v>
      </x:c>
      <x:c r="B34" s="6" t="str">
        <x:v>当前值</x:v>
      </x:c>
      <x:c r="C34" s="6"/>
      <x:c r="D34" s="6" t="str">
        <x:v>解释与下一步</x:v>
      </x:c>
      <x:c r="E34" s="2"/>
      <x:c r="F34" s="2"/>
      <x:c r="G34" s="2"/>
      <x:c r="H34" s="2"/>
      <x:c r="I34" s="2"/>
    </x:row>
    <x:row r="35" ht="56" customHeight="1">
      <x:c r="A35" s="12" t="str">
        <x:v>拆分贡献（元／增量客户）</x:v>
      </x:c>
      <x:c r="B35" s="53" t="n">
        <x:f>'单位贡献拆分'!D28</x:f>
        <x:v>6.2383561643835606</x:v>
      </x:c>
      <x:c r="C35" s="12"/>
      <x:c r="D35" s="12" t="str">
        <x:v>独立教学假设；不校准至原200元。</x:v>
      </x:c>
      <x:c r="E35" s="2"/>
      <x:c r="F35" s="2"/>
      <x:c r="G35" s="2"/>
      <x:c r="H35" s="2"/>
      <x:c r="I35" s="2"/>
    </x:row>
    <x:row r="36" ht="56" customHeight="1">
      <x:c r="A36" s="12" t="str">
        <x:v>拆分成本（元）</x:v>
      </x:c>
      <x:c r="B36" s="33" t="n">
        <x:f>IF(AND(ISNUMBER('成本口径'!D31),ISNUMBER('成本口径'!D32),ISNUMBER('测算与敏感性'!D23),ISNUMBER('测算与敏感性'!D26)),SUM('测算与敏感性'!D23,'测算与敏感性'!D26,'成本口径'!D31,'成本口径'!D32),"n.a.")</x:f>
        <x:v>12550</x:v>
      </x:c>
      <x:c r="C36" s="12"/>
      <x:c r="D36" s="12" t="str">
        <x:v>拆分成本候选，使用当前渠道及人工参数；看清口径再比较。</x:v>
      </x:c>
      <x:c r="E36" s="2"/>
      <x:c r="F36" s="2"/>
      <x:c r="G36" s="2"/>
      <x:c r="H36" s="2"/>
      <x:c r="I36" s="2"/>
    </x:row>
    <x:row r="37" ht="56" customHeight="1">
      <x:c r="A37" s="12" t="str">
        <x:v>全额建设投入成本（元）</x:v>
      </x:c>
      <x:c r="B37" s="33" t="n">
        <x:f>'成本口径'!D34</x:f>
        <x:v>14650</x:v>
      </x:c>
      <x:c r="C37" s="12"/>
      <x:c r="D37" s="12" t="str">
        <x:v>此项不叠加建设分摊；不能直接称现金支出。</x:v>
      </x:c>
      <x:c r="E37" s="2"/>
      <x:c r="F37" s="2"/>
      <x:c r="G37" s="2"/>
      <x:c r="H37" s="2"/>
      <x:c r="I37" s="2"/>
    </x:row>
    <x:row r="38" ht="56" customHeight="1">
      <x:c r="A38" s="12" t="str">
        <x:v>应优先核验的参数</x:v>
      </x:c>
      <x:c r="B38" s="12" t="str">
        <x:v>效果、净贡献与成本范围</x:v>
      </x:c>
      <x:c r="C38" s="12"/>
      <x:c r="D38" s="12" t="str">
        <x:v>先核T−B真实增量及全行净贡献，再确认预算包含的费用。</x:v>
      </x:c>
      <x:c r="E38" s="2"/>
      <x:c r="F38" s="2"/>
      <x:c r="G38" s="2"/>
      <x:c r="H38" s="2"/>
      <x:c r="I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conditionalFormatting sqref="B11:C11">
    <x:cfRule type="cellIs" dxfId="3" priority="1" operator="lessThan">
      <x:formula>0</x:formula>
    </x:cfRule>
  </x:conditionalFormatting>
  <x:dataValidations count="1">
    <x:dataValidation type="list" sqref="B19:B22">
      <x:formula1>"待核验,已核验,不满足"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67CA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60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服务方案商业测算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 t="str">
        <x:v>计算口径</x:v>
      </x:c>
      <x:c r="B3" s="2"/>
      <x:c r="C3" s="2"/>
      <x:c r="D3" s="14" t="str">
        <x:v>原方案情景</x:v>
      </x:c>
      <x:c r="E3" s="2"/>
      <x:c r="F3" s="2"/>
      <x:c r="G3" s="2"/>
      <x:c r="H3" s="2"/>
      <x:c r="I3" s="2"/>
    </x:row>
    <x:row r="4" ht="28" customHeight="1">
      <x:c r="A4" s="2" t="str">
        <x:v>黄底蓝字可修改；灰底链接为公式。D3切换口径；两个口径均不是银行实测。</x:v>
      </x:c>
      <x:c r="B4" s="2"/>
      <x:c r="C4" s="2"/>
      <x:c r="D4" s="2"/>
      <x:c r="E4" s="2"/>
      <x:c r="F4" s="2"/>
      <x:c r="G4" s="2"/>
      <x:c r="H4" s="2"/>
      <x:c r="I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6" t="str">
        <x:v>参数／指标</x:v>
      </x:c>
      <x:c r="B6" s="6" t="str">
        <x:v>单位</x:v>
      </x:c>
      <x:c r="C6" s="6" t="str">
        <x:v>B−A 说明入口</x:v>
      </x:c>
      <x:c r="D6" s="6" t="str">
        <x:v>T−B 主动联系</x:v>
      </x:c>
      <x:c r="E6" s="6" t="str">
        <x:v>参数性质</x:v>
      </x:c>
      <x:c r="F6" s="6" t="str">
        <x:v>定义与待核事项</x:v>
      </x:c>
      <x:c r="G6" s="2"/>
      <x:c r="H6" s="2"/>
      <x:c r="I6" s="2"/>
    </x:row>
    <x:row r="7" ht="28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48" customHeight="1">
      <x:c r="A8" s="12" t="str">
        <x:v>比较侧入组人数</x:v>
      </x:c>
      <x:c r="B8" s="12" t="str">
        <x:v>人</x:v>
      </x:c>
      <x:c r="C8" s="15"/>
      <x:c r="D8" s="15" t="n">
        <x:v>50000</x:v>
      </x:c>
      <x:c r="E8" s="12" t="str">
        <x:v>模拟／待核</x:v>
      </x:c>
      <x:c r="F8" s="12" t="str">
        <x:v>两臂规模不等时，用实际率差乘指定决策规模；此处T、B各50000人</x:v>
      </x:c>
      <x:c r="G8" s="2"/>
      <x:c r="H8" s="2"/>
      <x:c r="I8" s="2"/>
    </x:row>
    <x:row r="9" ht="48" customHeight="1">
      <x:c r="A9" s="12" t="str">
        <x:v>首缴率差</x:v>
      </x:c>
      <x:c r="B9" s="12" t="str">
        <x:v>比例</x:v>
      </x:c>
      <x:c r="C9" s="16"/>
      <x:c r="D9" s="16" t="n">
        <x:v>0.0004</x:v>
      </x:c>
      <x:c r="E9" s="12" t="str">
        <x:v>模拟／待核</x:v>
      </x:c>
      <x:c r="F9" s="12" t="str">
        <x:v>T−B为1.34%−1.30%；0.04个百分点需输入0.0004</x:v>
      </x:c>
      <x:c r="G9" s="2"/>
      <x:c r="H9" s="2"/>
      <x:c r="I9" s="2"/>
    </x:row>
    <x:row r="10" ht="48" customHeight="1">
      <x:c r="A10" s="12" t="str">
        <x:v>单位增量净贡献</x:v>
      </x:c>
      <x:c r="B10" s="12" t="str">
        <x:v>元／增量客户</x:v>
      </x:c>
      <x:c r="C10" s="15"/>
      <x:c r="D10" s="49" t="n">
        <x:f>IF($D$3="原方案情景",'原始依据'!B11,IF('成本口径'!D37&lt;&gt;"匹配","n.a.",'单位贡献拆分'!D28))</x:f>
        <x:v>200</x:v>
      </x:c>
      <x:c r="E10" s="12" t="str">
        <x:v>可调假设</x:v>
      </x:c>
      <x:c r="F10" s="12" t="str">
        <x:v>由计算口径联动。拆分示例的资金、配置、节约与替代损失见单位贡献页。</x:v>
      </x:c>
      <x:c r="G10" s="2"/>
      <x:c r="H10" s="2"/>
      <x:c r="I10" s="2"/>
    </x:row>
    <x:row r="11" ht="48" customHeight="1">
      <x:c r="A11" s="12" t="str">
        <x:v>单位入组客户渠道成本</x:v>
      </x:c>
      <x:c r="B11" s="12" t="str">
        <x:v>元／人</x:v>
      </x:c>
      <x:c r="C11" s="17"/>
      <x:c r="D11" s="17" t="n">
        <x:v>0.1</x:v>
      </x:c>
      <x:c r="E11" s="12" t="str">
        <x:v>原总成本折算</x:v>
      </x:c>
      <x:c r="F11" s="12" t="str">
        <x:v>5000÷50000=0.1；真实费用未必随人数线性变化</x:v>
      </x:c>
      <x:c r="G11" s="2"/>
      <x:c r="H11" s="2"/>
      <x:c r="I11" s="2"/>
    </x:row>
    <x:row r="12" ht="48" customHeight="1">
      <x:c r="A12" s="12" t="str">
        <x:v>接受人工服务比例</x:v>
      </x:c>
      <x:c r="B12" s="12" t="str">
        <x:v>比例</x:v>
      </x:c>
      <x:c r="C12" s="16"/>
      <x:c r="D12" s="16" t="n">
        <x:v>0.05</x:v>
      </x:c>
      <x:c r="E12" s="12" t="str">
        <x:v>可调假设</x:v>
      </x:c>
      <x:c r="F12" s="12" t="str">
        <x:v>原情景5%；此处假设每位接受者服务一次</x:v>
      </x:c>
      <x:c r="G12" s="2"/>
      <x:c r="H12" s="2"/>
      <x:c r="I12" s="2"/>
    </x:row>
    <x:row r="13" ht="48" customHeight="1">
      <x:c r="A13" s="12" t="str">
        <x:v>每次服务时长</x:v>
      </x:c>
      <x:c r="B13" s="12" t="str">
        <x:v>分钟</x:v>
      </x:c>
      <x:c r="C13" s="15"/>
      <x:c r="D13" s="15" t="n">
        <x:v>2</x:v>
      </x:c>
      <x:c r="E13" s="12" t="str">
        <x:v>可调假设</x:v>
      </x:c>
      <x:c r="F13" s="12" t="str">
        <x:v>真实应计入服务与复核返工工时</x:v>
      </x:c>
      <x:c r="G13" s="2"/>
      <x:c r="H13" s="2"/>
      <x:c r="I13" s="2"/>
    </x:row>
    <x:row r="14" ht="48" customHeight="1">
      <x:c r="A14" s="12" t="str">
        <x:v>人工小时成本</x:v>
      </x:c>
      <x:c r="B14" s="12" t="str">
        <x:v>元／小时</x:v>
      </x:c>
      <x:c r="C14" s="15"/>
      <x:c r="D14" s="15" t="n">
        <x:v>60</x:v>
      </x:c>
      <x:c r="E14" s="12" t="str">
        <x:v>可调假设</x:v>
      </x:c>
      <x:c r="F14" s="12" t="str">
        <x:v>原情景60元／小时</x:v>
      </x:c>
      <x:c r="G14" s="2"/>
      <x:c r="H14" s="2"/>
      <x:c r="I14" s="2"/>
    </x:row>
    <x:row r="15" ht="48" customHeight="1">
      <x:c r="A15" s="12" t="str">
        <x:v>建设摊销及运维合计</x:v>
      </x:c>
      <x:c r="B15" s="12" t="str">
        <x:v>元</x:v>
      </x:c>
      <x:c r="C15" s="15"/>
      <x:c r="D15" s="49" t="n">
        <x:f>IF($D$3="原方案情景",'原始依据'!B16,IF('成本口径'!D37&lt;&gt;"匹配","n.a.",'成本口径'!D31))</x:f>
        <x:v>3000</x:v>
      </x:c>
      <x:c r="E15" s="12" t="str">
        <x:v>原合计假设</x:v>
      </x:c>
      <x:c r="F15" s="12" t="str">
        <x:v>由口径联动。拆分示例分别计算建设工时、复用、受益分摊与运维。</x:v>
      </x:c>
      <x:c r="G15" s="2"/>
      <x:c r="H15" s="2"/>
      <x:c r="I15" s="2"/>
    </x:row>
    <x:row r="16" ht="48" customHeight="1">
      <x:c r="A16" s="12" t="str">
        <x:v>额外成本预算</x:v>
      </x:c>
      <x:c r="B16" s="12" t="str">
        <x:v>元</x:v>
      </x:c>
      <x:c r="C16" s="15"/>
      <x:c r="D16" s="49" t="n">
        <x:f>IF($D$3="原方案情景",0,IF('成本口径'!D37&lt;&gt;"匹配","n.a.",'成本口径'!D32))</x:f>
        <x:v>0</x:v>
      </x:c>
      <x:c r="E16" s="12" t="str">
        <x:v>占位假设</x:v>
      </x:c>
      <x:c r="F16" s="12" t="str">
        <x:v>由口径联动。拆分示例计入审核、返工和保护处置预算。</x:v>
      </x:c>
      <x:c r="G16" s="2"/>
      <x:c r="H16" s="2"/>
      <x:c r="I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8" customHeight="1">
      <x:c r="A18" s="2" t="str">
        <x:v>输入状态</x:v>
      </x:c>
      <x:c r="B18" s="2" t="str"/>
      <x:c r="C18" s="7" t="str">
        <x:f>IF(COUNT(C8:C16)&lt;9,"缺少参数",IF(OR(C8&lt;=0,C8&lt;&gt;INT(C8),ABS(C9)&gt;1,C11&lt;0,C12&lt;0,C12&gt;1,C13&lt;0,C14&lt;0,C15&lt;0,C16&lt;0),"参数无效","完整"))</x:f>
        <x:v>缺少参数</x:v>
      </x:c>
      <x:c r="D18" s="7" t="str">
        <x:f>IF(COUNT(D8:D16)&lt;9,"缺少参数",IF(OR(D8&lt;=0,D8&lt;&gt;INT(D8),ABS(D9)&gt;1,D11&lt;0,D12&lt;0,D12&gt;1,D13&lt;0,D14&lt;0,D15&lt;0,D16&lt;0),"参数无效","完整"))</x:f>
        <x:v>完整</x:v>
      </x:c>
      <x:c r="E18" s="2"/>
      <x:c r="F18" s="12" t="str">
        <x:v>B−A若确无渠道或人工成本，核实后明确填0；其他必需项仍需补齐。</x:v>
      </x:c>
      <x:c r="G18" s="2"/>
      <x:c r="H18" s="2"/>
      <x:c r="I18" s="2"/>
    </x:row>
    <x:row r="19" ht="28" customHeight="1">
      <x:c r="A19" s="2"/>
      <x:c r="B19" s="2"/>
      <x:c r="C19" s="2"/>
      <x:c r="D19" s="2"/>
      <x:c r="E19" s="2"/>
      <x:c r="F19" s="12"/>
      <x:c r="G19" s="2"/>
      <x:c r="H19" s="2"/>
      <x:c r="I19" s="2"/>
    </x:row>
    <x:row r="20" ht="28" customHeight="1">
      <x:c r="A20" s="2" t="str">
        <x:v>折算增量首缴人数</x:v>
      </x:c>
      <x:c r="B20" s="2" t="str">
        <x:v>人</x:v>
      </x:c>
      <x:c r="C20" s="9" t="str">
        <x:f>IF(C18&lt;&gt;"完整","n.a.",C8*C9)</x:f>
        <x:v>n.a.</x:v>
      </x:c>
      <x:c r="D20" s="9" t="n">
        <x:f>IF(D18&lt;&gt;"完整","n.a.",D8*D9)</x:f>
        <x:v>20</x:v>
      </x:c>
      <x:c r="E20" s="2"/>
      <x:c r="F20" s="12"/>
      <x:c r="G20" s="2"/>
      <x:c r="H20" s="2"/>
      <x:c r="I20" s="2"/>
    </x:row>
    <x:row r="21" ht="28" customHeight="1">
      <x:c r="A21" s="22" t="str">
        <x:v>折算增量贡献</x:v>
      </x:c>
      <x:c r="B21" s="22" t="str">
        <x:v>元</x:v>
      </x:c>
      <x:c r="C21" s="23" t="str">
        <x:f>IF(C18&lt;&gt;"完整","n.a.",C20*C10)</x:f>
        <x:v>n.a.</x:v>
      </x:c>
      <x:c r="D21" s="23" t="n">
        <x:f>IF(D18&lt;&gt;"完整","n.a.",D20*D10)</x:f>
        <x:v>4000</x:v>
      </x:c>
      <x:c r="E21" s="2"/>
      <x:c r="F21" s="12"/>
      <x:c r="G21" s="2"/>
      <x:c r="H21" s="2"/>
      <x:c r="I21" s="2"/>
    </x:row>
    <x:row r="22" ht="28" customHeight="1">
      <x:c r="A22" s="2"/>
      <x:c r="B22" s="2"/>
      <x:c r="C22" s="8"/>
      <x:c r="D22" s="8"/>
      <x:c r="E22" s="2"/>
      <x:c r="F22" s="12"/>
      <x:c r="G22" s="2"/>
      <x:c r="H22" s="2"/>
      <x:c r="I22" s="2"/>
    </x:row>
    <x:row r="23" ht="28" customHeight="1">
      <x:c r="A23" s="2" t="str">
        <x:v>渠道成本</x:v>
      </x:c>
      <x:c r="B23" s="2" t="str">
        <x:v>元</x:v>
      </x:c>
      <x:c r="C23" s="9" t="str">
        <x:f>IF(C18&lt;&gt;"完整","n.a.",C8*C11)</x:f>
        <x:v>n.a.</x:v>
      </x:c>
      <x:c r="D23" s="9" t="n">
        <x:f>IF(D18&lt;&gt;"完整","n.a.",D8*D11)</x:f>
        <x:v>5000</x:v>
      </x:c>
      <x:c r="E23" s="2"/>
      <x:c r="F23" s="12"/>
      <x:c r="G23" s="2"/>
      <x:c r="H23" s="2"/>
      <x:c r="I23" s="2"/>
    </x:row>
    <x:row r="24" ht="28" customHeight="1">
      <x:c r="A24" s="2" t="str">
        <x:v>人工服务人数</x:v>
      </x:c>
      <x:c r="B24" s="2" t="str">
        <x:v>人</x:v>
      </x:c>
      <x:c r="C24" s="9" t="str">
        <x:f>IF(C18&lt;&gt;"完整","n.a.",C8*C12)</x:f>
        <x:v>n.a.</x:v>
      </x:c>
      <x:c r="D24" s="9" t="n">
        <x:f>IF(D18&lt;&gt;"完整","n.a.",D8*D12)</x:f>
        <x:v>2500</x:v>
      </x:c>
      <x:c r="E24" s="2"/>
      <x:c r="F24" s="12"/>
      <x:c r="G24" s="2"/>
      <x:c r="H24" s="2"/>
      <x:c r="I24" s="2"/>
    </x:row>
    <x:row r="25" ht="28" customHeight="1">
      <x:c r="A25" s="2" t="str">
        <x:v>人工工时</x:v>
      </x:c>
      <x:c r="B25" s="2" t="str">
        <x:v>小时</x:v>
      </x:c>
      <x:c r="C25" s="18" t="str">
        <x:f>IF(C18&lt;&gt;"完整","n.a.",C24*C13/60)</x:f>
        <x:v>n.a.</x:v>
      </x:c>
      <x:c r="D25" s="18" t="n">
        <x:f>IF(D18&lt;&gt;"完整","n.a.",D24*D13/60)</x:f>
        <x:v>83.33333333333333</x:v>
      </x:c>
      <x:c r="E25" s="2"/>
      <x:c r="F25" s="12"/>
      <x:c r="G25" s="2"/>
      <x:c r="H25" s="2"/>
      <x:c r="I25" s="2"/>
    </x:row>
    <x:row r="26" ht="28" customHeight="1">
      <x:c r="A26" s="2" t="str">
        <x:v>人工成本</x:v>
      </x:c>
      <x:c r="B26" s="2" t="str">
        <x:v>元</x:v>
      </x:c>
      <x:c r="C26" s="9" t="str">
        <x:f>IF(C18&lt;&gt;"完整","n.a.",C25*C14)</x:f>
        <x:v>n.a.</x:v>
      </x:c>
      <x:c r="D26" s="9" t="n">
        <x:f>IF(D18&lt;&gt;"完整","n.a.",D25*D14)</x:f>
        <x:v>5000</x:v>
      </x:c>
      <x:c r="E26" s="2"/>
      <x:c r="F26" s="12"/>
      <x:c r="G26" s="2"/>
      <x:c r="H26" s="2"/>
      <x:c r="I26" s="2"/>
    </x:row>
    <x:row r="27" ht="28" customHeight="1">
      <x:c r="A27" s="2" t="str">
        <x:v>建设摊销及运维</x:v>
      </x:c>
      <x:c r="B27" s="2" t="str">
        <x:v>元</x:v>
      </x:c>
      <x:c r="C27" s="9" t="str">
        <x:f>IF(C18&lt;&gt;"完整","n.a.",C15)</x:f>
        <x:v>n.a.</x:v>
      </x:c>
      <x:c r="D27" s="9" t="n">
        <x:f>IF(D18&lt;&gt;"完整","n.a.",D15)</x:f>
        <x:v>3000</x:v>
      </x:c>
      <x:c r="E27" s="2"/>
      <x:c r="F27" s="12"/>
      <x:c r="G27" s="2"/>
      <x:c r="H27" s="2"/>
      <x:c r="I27" s="2"/>
    </x:row>
    <x:row r="28" ht="28" customHeight="1">
      <x:c r="A28" s="2" t="str">
        <x:v>额外成本</x:v>
      </x:c>
      <x:c r="B28" s="2" t="str">
        <x:v>元</x:v>
      </x:c>
      <x:c r="C28" s="9" t="str">
        <x:f>IF(C18&lt;&gt;"完整","n.a.",C16)</x:f>
        <x:v>n.a.</x:v>
      </x:c>
      <x:c r="D28" s="9" t="n">
        <x:f>IF(D18&lt;&gt;"完整","n.a.",D16)</x:f>
        <x:v>0</x:v>
      </x:c>
      <x:c r="E28" s="2"/>
      <x:c r="F28" s="12"/>
      <x:c r="G28" s="2"/>
      <x:c r="H28" s="2"/>
      <x:c r="I28" s="2"/>
    </x:row>
    <x:row r="29" ht="28" customHeight="1">
      <x:c r="A29" s="22" t="str">
        <x:v>新增总成本</x:v>
      </x:c>
      <x:c r="B29" s="22" t="str">
        <x:v>元</x:v>
      </x:c>
      <x:c r="C29" s="23" t="str">
        <x:f>IF(C18&lt;&gt;"完整","n.a.",SUM(C23,C26:C28))</x:f>
        <x:v>n.a.</x:v>
      </x:c>
      <x:c r="D29" s="23" t="n">
        <x:f>IF(D18&lt;&gt;"完整","n.a.",SUM(D23,D26:D28))</x:f>
        <x:v>13000</x:v>
      </x:c>
      <x:c r="E29" s="2"/>
      <x:c r="F29" s="12"/>
      <x:c r="G29" s="2"/>
      <x:c r="H29" s="2"/>
      <x:c r="I29" s="2"/>
    </x:row>
    <x:row r="30" ht="28" customHeight="1">
      <x:c r="A30" s="2"/>
      <x:c r="B30" s="2"/>
      <x:c r="C30" s="8"/>
      <x:c r="D30" s="8"/>
      <x:c r="E30" s="2"/>
      <x:c r="F30" s="12"/>
      <x:c r="G30" s="2"/>
      <x:c r="H30" s="2"/>
      <x:c r="I30" s="2"/>
    </x:row>
    <x:row r="31" ht="28" customHeight="1">
      <x:c r="A31" s="22" t="str">
        <x:v>情景净值</x:v>
      </x:c>
      <x:c r="B31" s="22" t="str">
        <x:v>元</x:v>
      </x:c>
      <x:c r="C31" s="23" t="str">
        <x:f>IF(C18&lt;&gt;"完整","n.a.",C21-C29)</x:f>
        <x:v>n.a.</x:v>
      </x:c>
      <x:c r="D31" s="23" t="n">
        <x:f>IF(D18&lt;&gt;"完整","n.a.",D21-D29)</x:f>
        <x:v>-9000</x:v>
      </x:c>
      <x:c r="E31" s="2"/>
      <x:c r="F31" s="12" t="str">
        <x:v>情景净值为正不证明真实有效。效果、成本口径及客户保护仍需核验。</x:v>
      </x:c>
      <x:c r="G31" s="2"/>
      <x:c r="H31" s="2"/>
      <x:c r="I31" s="2"/>
    </x:row>
    <x:row r="32" ht="28" customHeight="1">
      <x:c r="A32" s="2" t="str">
        <x:v>每名入组客户情景净值</x:v>
      </x:c>
      <x:c r="B32" s="2" t="str">
        <x:v>元／人</x:v>
      </x:c>
      <x:c r="C32" s="19" t="str">
        <x:f>IF(C18&lt;&gt;"完整","n.a.",C31/C8)</x:f>
        <x:v>n.a.</x:v>
      </x:c>
      <x:c r="D32" s="19" t="n">
        <x:f>IF(D18&lt;&gt;"完整","n.a.",D31/D8)</x:f>
        <x:v>-0.18</x:v>
      </x:c>
      <x:c r="E32" s="2"/>
      <x:c r="F32" s="12"/>
      <x:c r="G32" s="2"/>
      <x:c r="H32" s="2"/>
      <x:c r="I32" s="2"/>
    </x:row>
    <x:row r="33" ht="28" customHeight="1">
      <x:c r="A33" s="2"/>
      <x:c r="B33" s="2"/>
      <x:c r="C33" s="8"/>
      <x:c r="D33" s="8"/>
      <x:c r="E33" s="2"/>
      <x:c r="F33" s="12"/>
      <x:c r="G33" s="2"/>
      <x:c r="H33" s="2"/>
      <x:c r="I33" s="2"/>
    </x:row>
    <x:row r="34" ht="28" customHeight="1">
      <x:c r="A34" s="2" t="str">
        <x:v>盈亏平衡单位贡献</x:v>
      </x:c>
      <x:c r="B34" s="2" t="str">
        <x:v>元／增量客户</x:v>
      </x:c>
      <x:c r="C34" s="9" t="str">
        <x:f>IF(C18&lt;&gt;"完整","n.a.",IF(C20&lt;=0,"n.a.",C29/C20))</x:f>
        <x:v>n.a.</x:v>
      </x:c>
      <x:c r="D34" s="9" t="n">
        <x:f>IF(D18&lt;&gt;"完整","n.a.",IF(D20&lt;=0,"n.a.",D29/D20))</x:f>
        <x:v>650</x:v>
      </x:c>
      <x:c r="E34" s="2"/>
      <x:c r="F34" s="12" t="str">
        <x:v>增量≤0时单位贡献门槛无意义；单位贡献=0时率差门槛不可计算。</x:v>
      </x:c>
      <x:c r="G34" s="2"/>
      <x:c r="H34" s="2"/>
      <x:c r="I34" s="2"/>
    </x:row>
    <x:row r="35" ht="28" customHeight="1">
      <x:c r="A35" s="2" t="str">
        <x:v>盈亏平衡首缴率差</x:v>
      </x:c>
      <x:c r="B35" s="2" t="str">
        <x:v>比例</x:v>
      </x:c>
      <x:c r="C35" s="11" t="str">
        <x:f>IF(C18&lt;&gt;"完整","n.a.",IF(C10&lt;=0,"n.a.",C29/(C8*C10)))</x:f>
        <x:v>n.a.</x:v>
      </x:c>
      <x:c r="D35" s="11" t="n">
        <x:f>IF(D18&lt;&gt;"完整","n.a.",IF(D10&lt;=0,"n.a.",D29/(D8*D10)))</x:f>
        <x:v>0.0013</x:v>
      </x:c>
      <x:c r="E35" s="2"/>
      <x:c r="F35" s="12"/>
      <x:c r="G35" s="2"/>
      <x:c r="H35" s="2"/>
      <x:c r="I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32" customHeight="1">
      <x:c r="A38" s="6" t="str">
        <x:v>敏感性：效果与贡献</x:v>
      </x:c>
      <x:c r="B38" s="6"/>
      <x:c r="C38" s="6"/>
      <x:c r="D38" s="6"/>
      <x:c r="E38" s="6"/>
      <x:c r="F38" s="6"/>
      <x:c r="G38" s="2"/>
      <x:c r="H38" s="2"/>
      <x:c r="I38" s="2"/>
    </x:row>
    <x:row r="39" ht="28" customHeight="1">
      <x:c r="A39" s="2" t="str">
        <x:v>行：单位贡献（元／人）。列：首缴率差（比例）。输出：情景净值（元）。</x:v>
      </x:c>
      <x:c r="B39" s="2"/>
      <x:c r="C39" s="2"/>
      <x:c r="D39" s="2"/>
      <x:c r="E39" s="2"/>
      <x:c r="F39" s="2"/>
      <x:c r="G39" s="2"/>
      <x:c r="H39" s="2"/>
      <x:c r="I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8" customHeight="1">
      <x:c r="A41" s="24" t="n">
        <x:f>D31</x:f>
        <x:v>-9000</x:v>
      </x:c>
      <x:c r="B41" s="25" t="n">
        <x:v>-0.0004</x:v>
      </x:c>
      <x:c r="C41" s="25" t="n">
        <x:v>0</x:v>
      </x:c>
      <x:c r="D41" s="25" t="n">
        <x:v>0.0004</x:v>
      </x:c>
      <x:c r="E41" s="25" t="n">
        <x:v>0.001</x:v>
      </x:c>
      <x:c r="F41" s="25" t="n">
        <x:v>0.002</x:v>
      </x:c>
      <x:c r="G41" s="2"/>
      <x:c r="H41" s="2"/>
      <x:c r="I41" s="2"/>
    </x:row>
    <x:row r="42" ht="28" customHeight="1">
      <x:c r="A42" s="26" t="n">
        <x:v>100</x:v>
      </x:c>
      <x:c r="B42" s="8" t="n">
        <x:f t="dataTable" ref="B42:F46" dt2D="1" r1="D9" r2="D10"/>
        <x:v>-15000</x:v>
      </x:c>
      <x:c r="C42" s="8" t="n">
        <x:v>-13000</x:v>
      </x:c>
      <x:c r="D42" s="8" t="n">
        <x:v>-11000</x:v>
      </x:c>
      <x:c r="E42" s="8" t="n">
        <x:v>-8000</x:v>
      </x:c>
      <x:c r="F42" s="8" t="n">
        <x:v>-3000</x:v>
      </x:c>
      <x:c r="G42" s="2"/>
      <x:c r="H42" s="2"/>
      <x:c r="I42" s="2"/>
    </x:row>
    <x:row r="43" ht="28" customHeight="1">
      <x:c r="A43" s="26" t="n">
        <x:v>200</x:v>
      </x:c>
      <x:c r="B43" s="8" t="n">
        <x:v>-17000</x:v>
      </x:c>
      <x:c r="C43" s="8" t="n">
        <x:v>-13000</x:v>
      </x:c>
      <x:c r="D43" s="8" t="n">
        <x:v>-9000</x:v>
      </x:c>
      <x:c r="E43" s="8" t="n">
        <x:v>-3000</x:v>
      </x:c>
      <x:c r="F43" s="8" t="n">
        <x:v>7000</x:v>
      </x:c>
      <x:c r="G43" s="2"/>
      <x:c r="H43" s="2"/>
      <x:c r="I43" s="2"/>
    </x:row>
    <x:row r="44" ht="28" customHeight="1">
      <x:c r="A44" s="26" t="n">
        <x:v>400</x:v>
      </x:c>
      <x:c r="B44" s="8" t="n">
        <x:v>-21000</x:v>
      </x:c>
      <x:c r="C44" s="8" t="n">
        <x:v>-13000</x:v>
      </x:c>
      <x:c r="D44" s="8" t="n">
        <x:v>-5000</x:v>
      </x:c>
      <x:c r="E44" s="8" t="n">
        <x:v>7000</x:v>
      </x:c>
      <x:c r="F44" s="8" t="n">
        <x:v>27000</x:v>
      </x:c>
      <x:c r="G44" s="2"/>
      <x:c r="H44" s="2"/>
      <x:c r="I44" s="2"/>
    </x:row>
    <x:row r="45" ht="28" customHeight="1">
      <x:c r="A45" s="26" t="n">
        <x:v>650</x:v>
      </x:c>
      <x:c r="B45" s="8" t="n">
        <x:v>-26000</x:v>
      </x:c>
      <x:c r="C45" s="8" t="n">
        <x:v>-13000</x:v>
      </x:c>
      <x:c r="D45" s="8" t="n">
        <x:v>0</x:v>
      </x:c>
      <x:c r="E45" s="8" t="n">
        <x:v>19500</x:v>
      </x:c>
      <x:c r="F45" s="8" t="n">
        <x:v>52000</x:v>
      </x:c>
      <x:c r="G45" s="2"/>
      <x:c r="H45" s="2"/>
      <x:c r="I45" s="2"/>
    </x:row>
    <x:row r="46" ht="28" customHeight="1">
      <x:c r="A46" s="26" t="n">
        <x:v>1000</x:v>
      </x:c>
      <x:c r="B46" s="8" t="n">
        <x:v>-33000</x:v>
      </x:c>
      <x:c r="C46" s="8" t="n">
        <x:v>-13000</x:v>
      </x:c>
      <x:c r="D46" s="8" t="n">
        <x:v>7000</x:v>
      </x:c>
      <x:c r="E46" s="8" t="n">
        <x:v>37000</x:v>
      </x:c>
      <x:c r="F46" s="8" t="n">
        <x:v>87000</x:v>
      </x:c>
      <x:c r="G46" s="2"/>
      <x:c r="H46" s="2"/>
      <x:c r="I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32" customHeight="1">
      <x:c r="A49" s="6" t="str">
        <x:v>敏感性：人工成本</x:v>
      </x:c>
      <x:c r="B49" s="6"/>
      <x:c r="C49" s="6"/>
      <x:c r="D49" s="6"/>
      <x:c r="E49" s="6"/>
      <x:c r="F49" s="6"/>
      <x:c r="G49" s="2"/>
      <x:c r="H49" s="2"/>
      <x:c r="I49" s="2"/>
    </x:row>
    <x:row r="50" ht="28" customHeight="1">
      <x:c r="A50" s="2" t="str">
        <x:v>行：接受服务比例。列：每次服务分钟。其他参数采用当前输入；输出为情景净值（元）。</x:v>
      </x:c>
      <x:c r="B50" s="2"/>
      <x:c r="C50" s="2"/>
      <x:c r="D50" s="2"/>
      <x:c r="E50" s="2"/>
      <x:c r="F50" s="2"/>
      <x:c r="G50" s="2"/>
      <x:c r="H50" s="2"/>
      <x:c r="I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8" customHeight="1">
      <x:c r="A52" s="24" t="n">
        <x:f>D31</x:f>
        <x:v>-9000</x:v>
      </x:c>
      <x:c r="B52" s="20" t="n">
        <x:v>1</x:v>
      </x:c>
      <x:c r="C52" s="20" t="n">
        <x:v>2</x:v>
      </x:c>
      <x:c r="D52" s="20" t="n">
        <x:v>3</x:v>
      </x:c>
      <x:c r="E52" s="20" t="n">
        <x:v>5</x:v>
      </x:c>
      <x:c r="F52" s="20" t="n">
        <x:v>10</x:v>
      </x:c>
      <x:c r="G52" s="2"/>
      <x:c r="H52" s="2"/>
      <x:c r="I52" s="2"/>
    </x:row>
    <x:row r="53" ht="28" customHeight="1">
      <x:c r="A53" s="28" t="n">
        <x:v>0.01</x:v>
      </x:c>
      <x:c r="B53" s="8" t="n">
        <x:f t="dataTable" ref="B53:F56" dt2D="1" r1="D13" r2="D12"/>
        <x:v>-4500</x:v>
      </x:c>
      <x:c r="C53" s="8" t="n">
        <x:v>-5000</x:v>
      </x:c>
      <x:c r="D53" s="8" t="n">
        <x:v>-5500</x:v>
      </x:c>
      <x:c r="E53" s="8" t="n">
        <x:v>-6500</x:v>
      </x:c>
      <x:c r="F53" s="8" t="n">
        <x:v>-9000</x:v>
      </x:c>
      <x:c r="G53" s="2"/>
      <x:c r="H53" s="2"/>
      <x:c r="I53" s="2"/>
    </x:row>
    <x:row r="54" ht="28" customHeight="1">
      <x:c r="A54" s="28" t="n">
        <x:v>0.05</x:v>
      </x:c>
      <x:c r="B54" s="8" t="n">
        <x:v>-6500</x:v>
      </x:c>
      <x:c r="C54" s="8" t="n">
        <x:v>-9000</x:v>
      </x:c>
      <x:c r="D54" s="8" t="n">
        <x:v>-11500</x:v>
      </x:c>
      <x:c r="E54" s="8" t="n">
        <x:v>-16500</x:v>
      </x:c>
      <x:c r="F54" s="8" t="n">
        <x:v>-29000</x:v>
      </x:c>
      <x:c r="G54" s="2"/>
      <x:c r="H54" s="2"/>
      <x:c r="I54" s="2"/>
    </x:row>
    <x:row r="55" ht="28" customHeight="1">
      <x:c r="A55" s="28" t="n">
        <x:v>0.1</x:v>
      </x:c>
      <x:c r="B55" s="8" t="n">
        <x:v>-9000</x:v>
      </x:c>
      <x:c r="C55" s="8" t="n">
        <x:v>-14000</x:v>
      </x:c>
      <x:c r="D55" s="8" t="n">
        <x:v>-19000</x:v>
      </x:c>
      <x:c r="E55" s="8" t="n">
        <x:v>-29000</x:v>
      </x:c>
      <x:c r="F55" s="8" t="n">
        <x:v>-54000</x:v>
      </x:c>
      <x:c r="G55" s="2"/>
      <x:c r="H55" s="2"/>
      <x:c r="I55" s="2"/>
    </x:row>
    <x:row r="56" ht="28" customHeight="1">
      <x:c r="A56" s="28" t="n">
        <x:v>0.2</x:v>
      </x:c>
      <x:c r="B56" s="8" t="n">
        <x:v>-14000</x:v>
      </x:c>
      <x:c r="C56" s="8" t="n">
        <x:v>-24000</x:v>
      </x:c>
      <x:c r="D56" s="8" t="n">
        <x:v>-34000</x:v>
      </x:c>
      <x:c r="E56" s="8" t="n">
        <x:v>-54000</x:v>
      </x:c>
      <x:c r="F56" s="8" t="n">
        <x:v>-104000</x:v>
      </x:c>
      <x:c r="G56" s="2"/>
      <x:c r="H56" s="2"/>
      <x:c r="I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8" customHeight="1">
      <x:c r="A59" s="2" t="str">
        <x:v>敏感性网格数值仅为假设；不是预测、效果置信区间或银行批准阈值。</x:v>
      </x:c>
      <x:c r="B59" s="2"/>
      <x:c r="C59" s="2"/>
      <x:c r="D59" s="2"/>
      <x:c r="E59" s="2"/>
      <x:c r="F59" s="2"/>
      <x:c r="G59" s="2"/>
      <x:c r="H59" s="2"/>
      <x:c r="I59" s="2"/>
    </x:row>
    <x:row r="60" ht="28" customHeight="1">
      <x:c r="A60" s="2" t="str">
        <x:v>在Excel中使用自动计算；修改参数后，敏感性表通过同一个净值公式重新计算。</x:v>
      </x:c>
      <x:c r="B60" s="2"/>
      <x:c r="C60" s="2"/>
      <x:c r="D60" s="2"/>
      <x:c r="E60" s="2"/>
      <x:c r="F60" s="2"/>
      <x:c r="G60" s="2"/>
      <x:c r="H60" s="2"/>
      <x:c r="I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conditionalFormatting sqref="B42:F46">
    <x:cfRule type="cellIs" dxfId="0" priority="1" operator="lessThan">
      <x:formula>0</x:formula>
    </x:cfRule>
    <x:cfRule type="cellIs" dxfId="1" priority="2" operator="greaterThan">
      <x:formula>0</x:formula>
    </x:cfRule>
  </x:conditionalFormatting>
  <x:conditionalFormatting sqref="B53:F56">
    <x:cfRule type="cellIs" dxfId="2" priority="3" operator="lessThan">
      <x:formula>0</x:formula>
    </x:cfRule>
  </x:conditionalFormatting>
  <x:dataValidations count="12">
    <x:dataValidation type="decimal" operator="greaterThanOrEqual" sqref="C8:D8">
      <x:formula1>0</x:formula1>
    </x:dataValidation>
    <x:dataValidation type="decimal" operator="greaterThanOrEqual" sqref="C11:D11">
      <x:formula1>0</x:formula1>
    </x:dataValidation>
    <x:dataValidation type="decimal" operator="greaterThanOrEqual" sqref="C10">
      <x:formula1>0</x:formula1>
    </x:dataValidation>
    <x:dataValidation type="decimal" operator="greaterThanOrEqual" sqref="C13:D14">
      <x:formula1>0</x:formula1>
    </x:dataValidation>
    <x:dataValidation type="decimal" operator="greaterThanOrEqual" sqref="C16">
      <x:formula1>0</x:formula1>
    </x:dataValidation>
    <x:dataValidation type="decimal" operator="greaterThanOrEqual" sqref="C15">
      <x:formula1>0</x:formula1>
    </x:dataValidation>
    <x:dataValidation type="decimal" operator="between" sqref="C9:D9">
      <x:formula1>-1</x:formula1>
      <x:formula2>1</x:formula2>
    </x:dataValidation>
    <x:dataValidation type="decimal" operator="between" sqref="C12:D12">
      <x:formula1>0</x:formula1>
      <x:formula2>1</x:formula2>
    </x:dataValidation>
    <x:dataValidation type="list" sqref="D3">
      <x:formula1>"原方案情景,拆分示例"</x:formula1>
    </x:dataValidation>
    <x:dataValidation type="decimal" operator="between" sqref="D10">
      <x:formula1>-1000000000</x:formula1>
      <x:formula2>1000000000</x:formula2>
    </x:dataValidation>
    <x:dataValidation type="decimal" operator="between" sqref="D15">
      <x:formula1>0</x:formula1>
      <x:formula2>1000000000</x:formula2>
    </x:dataValidation>
    <x:dataValidation type="decimal" operator="between" sqref="D16">
      <x:formula1>0</x:formula1>
      <x:formula2>1000000000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7" hidden="0" customWidth="1"/>
    <x:col min="4" max="4" width="51" hidden="0" customWidth="1"/>
    <x:col min="5" max="5" width="4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3" t="str">
        <x:v>原始模拟参数与待核依据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2" t="str">
        <x:v>来源：工银智养仓计划书，2026.10，第30页。下表为原始模拟情景，非实测效果或银行预算。</x:v>
      </x:c>
      <x:c r="B4" s="2"/>
      <x:c r="C4" s="2"/>
      <x:c r="D4" s="2"/>
      <x:c r="E4" s="2"/>
      <x:c r="F4" s="2"/>
      <x:c r="G4" s="2"/>
      <x:c r="H4" s="2"/>
      <x:c r="I4" s="2"/>
    </x:row>
    <x:row r="5" ht="28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6" t="str">
        <x:v>原始项目</x:v>
      </x:c>
      <x:c r="B6" s="6" t="str">
        <x:v>原始数值</x:v>
      </x:c>
      <x:c r="C6" s="6" t="str">
        <x:v>单位</x:v>
      </x:c>
      <x:c r="D6" s="6" t="str">
        <x:v>来源与含义</x:v>
      </x:c>
      <x:c r="E6" s="6" t="str">
        <x:v>待确认依据</x:v>
      </x:c>
      <x:c r="F6" s="2"/>
      <x:c r="G6" s="2"/>
      <x:c r="H6" s="2"/>
      <x:c r="I6" s="2"/>
    </x:row>
    <x:row r="7" ht="48" customHeight="1">
      <x:c r="A7" s="2" t="str">
        <x:v>T、B各臂人数</x:v>
      </x:c>
      <x:c r="B7" s="8" t="n">
        <x:v>50000</x:v>
      </x:c>
      <x:c r="C7" s="2" t="str">
        <x:v>人</x:v>
      </x:c>
      <x:c r="D7" s="12" t="str">
        <x:v>第30页：各臂虚构客户数</x:v>
      </x:c>
      <x:c r="E7" s="12" t="str">
        <x:v>真实可入组客群与样本量</x:v>
      </x:c>
      <x:c r="F7" s="2"/>
      <x:c r="G7" s="2"/>
      <x:c r="H7" s="2"/>
      <x:c r="I7" s="2"/>
    </x:row>
    <x:row r="8" ht="48" customHeight="1">
      <x:c r="A8" s="2" t="str">
        <x:v>T组首缴率</x:v>
      </x:c>
      <x:c r="B8" s="10" t="n">
        <x:v>0.0134</x:v>
      </x:c>
      <x:c r="C8" s="2" t="str">
        <x:v>比例</x:v>
      </x:c>
      <x:c r="D8" s="12" t="str">
        <x:v>第30页：模拟结果</x:v>
      </x:c>
      <x:c r="E8" s="12" t="str">
        <x:v>真实随机试验与账务结果</x:v>
      </x:c>
      <x:c r="F8" s="2"/>
      <x:c r="G8" s="2"/>
      <x:c r="H8" s="2"/>
      <x:c r="I8" s="2"/>
    </x:row>
    <x:row r="9" ht="48" customHeight="1">
      <x:c r="A9" s="2" t="str">
        <x:v>B组首缴率</x:v>
      </x:c>
      <x:c r="B9" s="10" t="n">
        <x:v>0.013</x:v>
      </x:c>
      <x:c r="C9" s="2" t="str">
        <x:v>比例</x:v>
      </x:c>
      <x:c r="D9" s="12" t="str">
        <x:v>第30页：模拟结果</x:v>
      </x:c>
      <x:c r="E9" s="12" t="str">
        <x:v>真实随机试验与账务结果</x:v>
      </x:c>
      <x:c r="F9" s="2"/>
      <x:c r="G9" s="2"/>
      <x:c r="H9" s="2"/>
      <x:c r="I9" s="2"/>
    </x:row>
    <x:row r="10" ht="48" customHeight="1">
      <x:c r="A10" s="2" t="str">
        <x:v>首缴率差</x:v>
      </x:c>
      <x:c r="B10" s="11" t="n">
        <x:f>B8-B9</x:f>
        <x:v>0.00040000000000000105</x:v>
      </x:c>
      <x:c r="C10" s="2" t="str">
        <x:v>比例</x:v>
      </x:c>
      <x:c r="D10" s="12" t="str">
        <x:v>T组减B组；0.04个百分点</x:v>
      </x:c>
      <x:c r="E10" s="12" t="str">
        <x:v>效果不确定性与观察窗成熟</x:v>
      </x:c>
      <x:c r="F10" s="2"/>
      <x:c r="G10" s="2"/>
      <x:c r="H10" s="2"/>
      <x:c r="I10" s="2"/>
    </x:row>
    <x:row r="11" ht="48" customHeight="1">
      <x:c r="A11" s="2" t="str">
        <x:v>单位增量贡献</x:v>
      </x:c>
      <x:c r="B11" s="8" t="n">
        <x:v>200</x:v>
      </x:c>
      <x:c r="C11" s="2" t="str">
        <x:v>元／增量客户</x:v>
      </x:c>
      <x:c r="D11" s="12" t="str">
        <x:v>第30页：可调假设</x:v>
      </x:c>
      <x:c r="E11" s="12" t="str">
        <x:v>净贡献口径、留存与替代损失</x:v>
      </x:c>
      <x:c r="F11" s="2"/>
      <x:c r="G11" s="2"/>
      <x:c r="H11" s="2"/>
      <x:c r="I11" s="2"/>
    </x:row>
    <x:row r="12" ht="48" customHeight="1">
      <x:c r="A12" s="2" t="str">
        <x:v>渠道总成本</x:v>
      </x:c>
      <x:c r="B12" s="8" t="n">
        <x:v>5000</x:v>
      </x:c>
      <x:c r="C12" s="2" t="str">
        <x:v>元</x:v>
      </x:c>
      <x:c r="D12" s="12" t="str">
        <x:v>第30页：模拟假设</x:v>
      </x:c>
      <x:c r="E12" s="12" t="str">
        <x:v>真实渠道计费、费用与执行量</x:v>
      </x:c>
      <x:c r="F12" s="2"/>
      <x:c r="G12" s="2"/>
      <x:c r="H12" s="2"/>
      <x:c r="I12" s="2"/>
    </x:row>
    <x:row r="13" ht="48" customHeight="1">
      <x:c r="A13" s="2" t="str">
        <x:v>接受人工服务比例</x:v>
      </x:c>
      <x:c r="B13" s="10" t="n">
        <x:v>0.05</x:v>
      </x:c>
      <x:c r="C13" s="2" t="str">
        <x:v>比例</x:v>
      </x:c>
      <x:c r="D13" s="12" t="str">
        <x:v>第30页：5%</x:v>
      </x:c>
      <x:c r="E13" s="12" t="str">
        <x:v>实际接受服务比例与返工</x:v>
      </x:c>
      <x:c r="F13" s="2"/>
      <x:c r="G13" s="2"/>
      <x:c r="H13" s="2"/>
      <x:c r="I13" s="2"/>
    </x:row>
    <x:row r="14" ht="48" customHeight="1">
      <x:c r="A14" s="2" t="str">
        <x:v>每次服务时长</x:v>
      </x:c>
      <x:c r="B14" s="8" t="n">
        <x:v>2</x:v>
      </x:c>
      <x:c r="C14" s="2" t="str">
        <x:v>分钟</x:v>
      </x:c>
      <x:c r="D14" s="12" t="str">
        <x:v>第30页：每次2分钟</x:v>
      </x:c>
      <x:c r="E14" s="12" t="str">
        <x:v>抽样工时与服务次数</x:v>
      </x:c>
      <x:c r="F14" s="2"/>
      <x:c r="G14" s="2"/>
      <x:c r="H14" s="2"/>
      <x:c r="I14" s="2"/>
    </x:row>
    <x:row r="15" ht="48" customHeight="1">
      <x:c r="A15" s="2" t="str">
        <x:v>人工小时成本</x:v>
      </x:c>
      <x:c r="B15" s="8" t="n">
        <x:v>60</x:v>
      </x:c>
      <x:c r="C15" s="2" t="str">
        <x:v>元／小时</x:v>
      </x:c>
      <x:c r="D15" s="12" t="str">
        <x:v>第30页：60元／小时</x:v>
      </x:c>
      <x:c r="E15" s="12" t="str">
        <x:v>经核定的工时成本</x:v>
      </x:c>
      <x:c r="F15" s="2"/>
      <x:c r="G15" s="2"/>
      <x:c r="H15" s="2"/>
      <x:c r="I15" s="2"/>
    </x:row>
    <x:row r="16" ht="48" customHeight="1">
      <x:c r="A16" s="2" t="str">
        <x:v>建设摊销及运维合计</x:v>
      </x:c>
      <x:c r="B16" s="8" t="n">
        <x:v>3000</x:v>
      </x:c>
      <x:c r="C16" s="2" t="str">
        <x:v>元</x:v>
      </x:c>
      <x:c r="D16" s="12" t="str">
        <x:v>第30页合计，未拆分两项</x:v>
      </x:c>
      <x:c r="E16" s="12" t="str">
        <x:v>建设、摊销期、分摊与运维明细</x:v>
      </x:c>
      <x:c r="F16" s="2"/>
      <x:c r="G16" s="2"/>
      <x:c r="H16" s="2"/>
      <x:c r="I16" s="2"/>
    </x:row>
    <x:row r="17" ht="48" customHeight="1">
      <x:c r="A17" s="2" t="str">
        <x:v>人工总成本</x:v>
      </x:c>
      <x:c r="B17" s="8" t="n">
        <x:v>5000</x:v>
      </x:c>
      <x:c r="C17" s="2" t="str">
        <x:v>元</x:v>
      </x:c>
      <x:c r="D17" s="12" t="str">
        <x:v>第30页：模拟成本</x:v>
      </x:c>
      <x:c r="E17" s="12" t="str">
        <x:v>实际服务工单与单位成本</x:v>
      </x:c>
      <x:c r="F17" s="2"/>
      <x:c r="G17" s="2"/>
      <x:c r="H17" s="2"/>
      <x:c r="I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32" customHeight="1">
      <x:c r="A20" s="6" t="str">
        <x:v>未量化事项</x:v>
      </x:c>
      <x:c r="B20" s="6" t="str">
        <x:v>状态</x:v>
      </x:c>
      <x:c r="C20" s="6" t="str">
        <x:v>单位／口径</x:v>
      </x:c>
      <x:c r="D20" s="6" t="str">
        <x:v>原因</x:v>
      </x:c>
      <x:c r="E20" s="6" t="str">
        <x:v>下一步</x:v>
      </x:c>
      <x:c r="F20" s="2"/>
      <x:c r="G20" s="2"/>
      <x:c r="H20" s="2"/>
      <x:c r="I20" s="2"/>
    </x:row>
    <x:row r="21" ht="62" customHeight="1">
      <x:c r="A21" s="12" t="str">
        <x:v>B−A说明入口</x:v>
      </x:c>
      <x:c r="B21" s="12" t="str">
        <x:v>缺数</x:v>
      </x:c>
      <x:c r="C21" s="12" t="str">
        <x:v>相对A新增成本与贡献</x:v>
      </x:c>
      <x:c r="D21" s="12" t="str">
        <x:v>没有可复用的完整数值情景</x:v>
      </x:c>
      <x:c r="E21" s="12" t="str">
        <x:v>核验页面建设、维护与服务成本</x:v>
      </x:c>
      <x:c r="F21" s="2"/>
      <x:c r="G21" s="2"/>
      <x:c r="H21" s="2"/>
      <x:c r="I21" s="2"/>
    </x:row>
    <x:row r="22" ht="62" customHeight="1">
      <x:c r="A22" s="12" t="str">
        <x:v>效果置信区间</x:v>
      </x:c>
      <x:c r="B22" s="12" t="str">
        <x:v>未录入</x:v>
      </x:c>
      <x:c r="C22" s="12" t="str">
        <x:v>比例差</x:v>
      </x:c>
      <x:c r="D22" s="12" t="str">
        <x:v>当前只制作假设敏感性，不编造统计区间</x:v>
      </x:c>
      <x:c r="E22" s="12" t="str">
        <x:v>取得真实分组与成熟账务结果</x:v>
      </x:c>
      <x:c r="F22" s="2"/>
      <x:c r="G22" s="2"/>
      <x:c r="H22" s="2"/>
      <x:c r="I22" s="2"/>
    </x:row>
    <x:row r="23" ht="62" customHeight="1">
      <x:c r="A23" s="12" t="str">
        <x:v>成本观察范围</x:v>
      </x:c>
      <x:c r="B23" s="12" t="str">
        <x:v>待核</x:v>
      </x:c>
      <x:c r="C23" s="12" t="str">
        <x:v>本次试点配对成本</x:v>
      </x:c>
      <x:c r="D23" s="12" t="str">
        <x:v>效果窗60天＋7天核验；建设摊销与贡献期限另核</x:v>
      </x:c>
      <x:c r="E23" s="12" t="str">
        <x:v>确保成本和贡献对应一致范围</x:v>
      </x:c>
      <x:c r="F23" s="2"/>
      <x:c r="G23" s="2"/>
      <x:c r="H23" s="2"/>
      <x:c r="I23" s="2"/>
    </x:row>
    <x:row r="24" ht="62" customHeight="1">
      <x:c r="A24" s="12" t="str">
        <x:v>额外成本覆盖</x:v>
      </x:c>
      <x:c r="B24" s="12" t="str">
        <x:v>待核</x:v>
      </x:c>
      <x:c r="C24" s="12" t="str">
        <x:v>审核、返工、保护处置等</x:v>
      </x:c>
      <x:c r="D24" s="12" t="str">
        <x:v>原情景13000元不是完整银行预算</x:v>
      </x:c>
      <x:c r="E24" s="12" t="str">
        <x:v>核验是否已包含或需额外计入</x:v>
      </x:c>
      <x:c r="F24" s="2"/>
      <x:c r="G24" s="2"/>
      <x:c r="H24" s="2"/>
      <x:c r="I24" s="2"/>
    </x:row>
    <x:row r="25" ht="62" customHeight="1">
      <x:c r="A25" s="12" t="str">
        <x:v>简化贡献计算</x:v>
      </x:c>
      <x:c r="B25" s="12" t="str">
        <x:v>仅情景</x:v>
      </x:c>
      <x:c r="C25" s="12" t="str">
        <x:v>增量人数×单位贡献</x:v>
      </x:c>
      <x:c r="D25" s="12" t="str">
        <x:v>不包含全部金额与留存差异</x:v>
      </x:c>
      <x:c r="E25" s="12" t="str">
        <x:v>正式评审优先比较每名入组客户全行净贡献</x:v>
      </x:c>
      <x:c r="F25" s="2"/>
      <x:c r="G25" s="2"/>
      <x:c r="H25" s="2"/>
      <x:c r="I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8" customHeight="1">
      <x:c r="A28" s="2" t="str">
        <x:v>新增拆分示例的全部驱动由本案例设定，无银行报价依据；目的是展示核算方法和数据需求。</x:v>
      </x:c>
      <x:c r="B28" s="2"/>
      <x:c r="C28" s="2"/>
      <x:c r="D28" s="2"/>
      <x:c r="E28" s="2"/>
      <x:c r="F28" s="2"/>
      <x:c r="G28" s="2"/>
      <x:c r="H28" s="2"/>
      <x:c r="I28" s="2"/>
    </x:row>
    <x:row r="29" ht="28" customHeight="1">
      <x:c r="A29" s="2" t="str">
        <x:v>两种口径不能解释为真实改善前后；原200元与3000元缺少分解依据，均单独保留。</x:v>
      </x:c>
      <x:c r="B29" s="2"/>
      <x:c r="C29" s="2"/>
      <x:c r="D29" s="2"/>
      <x:c r="E29" s="2"/>
      <x:c r="F29" s="2"/>
      <x:c r="G29" s="2"/>
      <x:c r="H29" s="2"/>
      <x:c r="I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3" hidden="0" customWidth="1"/>
    <x:col min="4" max="4" width="23" hidden="0" customWidth="1"/>
    <x:col min="5" max="5" width="23" hidden="0" customWidth="1"/>
    <x:col min="6" max="6" width="65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0" customHeight="1">
      <x:c r="A2" s="3" t="str">
        <x:v>单位增量贡献拆分</x:v>
      </x:c>
      <x:c r="B2" s="2"/>
      <x:c r="C2" s="2"/>
      <x:c r="D2" s="2"/>
      <x:c r="E2" s="2"/>
      <x:c r="F2" s="2"/>
    </x:row>
    <x:row r="3" ht="30" customHeight="1">
      <x:c r="A3" s="2" t="str">
        <x:v>主模型口径</x:v>
      </x:c>
      <x:c r="B3" s="2"/>
      <x:c r="C3" s="2"/>
      <x:c r="D3" s="29" t="str">
        <x:f>'测算与敏感性'!D3</x:f>
        <x:v>原方案情景</x:v>
      </x:c>
      <x:c r="E3" s="2"/>
      <x:c r="F3" s="2"/>
    </x:row>
    <x:row r="4" ht="30" customHeight="1">
      <x:c r="A4" s="2" t="str">
        <x:v>T−B数值为新增的教学假设，经济评价期90天；B−A保持待核。不是原200元的事实分解。</x:v>
      </x:c>
      <x:c r="B4" s="2"/>
      <x:c r="C4" s="2"/>
      <x:c r="D4" s="2"/>
      <x:c r="E4" s="2"/>
      <x:c r="F4" s="2"/>
    </x:row>
    <x:row r="5" ht="30" customHeight="1">
      <x:c r="A5" s="2"/>
      <x:c r="B5" s="2"/>
      <x:c r="C5" s="2"/>
      <x:c r="D5" s="2"/>
      <x:c r="E5" s="2"/>
      <x:c r="F5" s="2"/>
    </x:row>
    <x:row r="6" ht="32" customHeight="1">
      <x:c r="A6" s="6" t="str">
        <x:v>驱动／结果</x:v>
      </x:c>
      <x:c r="B6" s="6" t="str">
        <x:v>单位</x:v>
      </x:c>
      <x:c r="C6" s="6" t="str">
        <x:v>B−A</x:v>
      </x:c>
      <x:c r="D6" s="6" t="str">
        <x:v>T−B 拆分示例</x:v>
      </x:c>
      <x:c r="E6" s="6" t="str">
        <x:v>依据类型</x:v>
      </x:c>
      <x:c r="F6" s="6" t="str">
        <x:v>定义与核验要求</x:v>
      </x:c>
    </x:row>
    <x:row r="7" ht="30" customHeight="1">
      <x:c r="A7" s="2"/>
      <x:c r="B7" s="2"/>
      <x:c r="C7" s="2"/>
      <x:c r="D7" s="2"/>
      <x:c r="E7" s="2"/>
      <x:c r="F7" s="2"/>
    </x:row>
    <x:row r="8" ht="52" customHeight="1">
      <x:c r="A8" s="12" t="str">
        <x:v>实际增量平均留存余额</x:v>
      </x:c>
      <x:c r="B8" s="12" t="str">
        <x:v>元／增量客户</x:v>
      </x:c>
      <x:c r="C8" s="40"/>
      <x:c r="D8" s="40" t="n">
        <x:v>10000</x:v>
      </x:c>
      <x:c r="E8" s="12" t="str">
        <x:v>教学假设</x:v>
      </x:c>
      <x:c r="F8" s="12" t="str">
        <x:v>须扣除原有业务转移；不以全部缴存额计贡献</x:v>
      </x:c>
    </x:row>
    <x:row r="9" ht="52" customHeight="1">
      <x:c r="A9" s="12" t="str">
        <x:v>实际增量留存天数</x:v>
      </x:c>
      <x:c r="B9" s="12" t="str">
        <x:v>天</x:v>
      </x:c>
      <x:c r="C9" s="40"/>
      <x:c r="D9" s="40" t="n">
        <x:v>60</x:v>
      </x:c>
      <x:c r="E9" s="12" t="str">
        <x:v>教学假设</x:v>
      </x:c>
      <x:c r="F9" s="12" t="str">
        <x:v>限90天评价期内；提前缴入仅计实际提前天数</x:v>
      </x:c>
    </x:row>
    <x:row r="10" ht="52" customHeight="1">
      <x:c r="A10" s="12" t="str">
        <x:v>年化净资金贡献率</x:v>
      </x:c>
      <x:c r="B10" s="12" t="str">
        <x:v>比例</x:v>
      </x:c>
      <x:c r="C10" s="16"/>
      <x:c r="D10" s="16" t="n">
        <x:v>0.01</x:v>
      </x:c>
      <x:c r="E10" s="12" t="str">
        <x:v>教学假设</x:v>
      </x:c>
      <x:c r="F10" s="12" t="str">
        <x:v>需银行内部净贡献口径，含资金成本；不是客户产品收益率</x:v>
      </x:c>
    </x:row>
    <x:row r="11" ht="52" customHeight="1">
      <x:c r="A11" s="12" t="str">
        <x:v>适当配置客户比例</x:v>
      </x:c>
      <x:c r="B11" s="12" t="str">
        <x:v>比例</x:v>
      </x:c>
      <x:c r="C11" s="16"/>
      <x:c r="D11" s="16" t="n">
        <x:v>0.4</x:v>
      </x:c>
      <x:c r="E11" s="12" t="str">
        <x:v>教学假设</x:v>
      </x:c>
      <x:c r="F11" s="12" t="str">
        <x:v>仅经适当性验证、评价期内实际配置客户</x:v>
      </x:c>
    </x:row>
    <x:row r="12" ht="52" customHeight="1">
      <x:c r="A12" s="12" t="str">
        <x:v>每位配置客户实际配置金额</x:v>
      </x:c>
      <x:c r="B12" s="12" t="str">
        <x:v>元</x:v>
      </x:c>
      <x:c r="C12" s="40"/>
      <x:c r="D12" s="40" t="n">
        <x:v>6000</x:v>
      </x:c>
      <x:c r="E12" s="12" t="str">
        <x:v>教学假设</x:v>
      </x:c>
      <x:c r="F12" s="12" t="str">
        <x:v>不是要求客户缴存或购买的门槛</x:v>
      </x:c>
    </x:row>
    <x:row r="13" ht="52" customHeight="1">
      <x:c r="A13" s="12" t="str">
        <x:v>净配置贡献率</x:v>
      </x:c>
      <x:c r="B13" s="12" t="str">
        <x:v>比例</x:v>
      </x:c>
      <x:c r="C13" s="16"/>
      <x:c r="D13" s="16" t="n">
        <x:v>0.002</x:v>
      </x:c>
      <x:c r="E13" s="12" t="str">
        <x:v>教学假设</x:v>
      </x:c>
      <x:c r="F13" s="12" t="str">
        <x:v>只计90天内可归属净费用；不得与资金贡献重复</x:v>
      </x:c>
    </x:row>
    <x:row r="14" ht="52" customHeight="1">
      <x:c r="A14" s="12" t="str">
        <x:v>可核验节约工时</x:v>
      </x:c>
      <x:c r="B14" s="12" t="str">
        <x:v>分钟／增量客户</x:v>
      </x:c>
      <x:c r="C14" s="40"/>
      <x:c r="D14" s="40" t="n">
        <x:v>5</x:v>
      </x:c>
      <x:c r="E14" s="12" t="str">
        <x:v>教学假设</x:v>
      </x:c>
      <x:c r="F14" s="12" t="str">
        <x:v>同口径反事实服务工时差；不能与新增人工重复抵扣</x:v>
      </x:c>
    </x:row>
    <x:row r="15" ht="52" customHeight="1">
      <x:c r="A15" s="12" t="str">
        <x:v>节约工时单位成本</x:v>
      </x:c>
      <x:c r="B15" s="12" t="str">
        <x:v>元／小时</x:v>
      </x:c>
      <x:c r="C15" s="40"/>
      <x:c r="D15" s="40" t="n">
        <x:v>60</x:v>
      </x:c>
      <x:c r="E15" s="12" t="str">
        <x:v>教学假设</x:v>
      </x:c>
      <x:c r="F15" s="12" t="str">
        <x:v>资源未实际释放时不等于现金节约</x:v>
      </x:c>
    </x:row>
    <x:row r="16" ht="52" customHeight="1">
      <x:c r="A16" s="12" t="str">
        <x:v>原业务替代损失</x:v>
      </x:c>
      <x:c r="B16" s="12" t="str">
        <x:v>元／增量客户</x:v>
      </x:c>
      <x:c r="C16" s="40"/>
      <x:c r="D16" s="40" t="n">
        <x:v>20</x:v>
      </x:c>
      <x:c r="E16" s="12" t="str">
        <x:v>教学假设</x:v>
      </x:c>
      <x:c r="F16" s="12" t="str">
        <x:v>未在前三项扣除的损失；避免重复扣减</x:v>
      </x:c>
    </x:row>
    <x:row r="17" ht="52" customHeight="1">
      <x:c r="A17" s="12" t="str">
        <x:v>经济评价期</x:v>
      </x:c>
      <x:c r="B17" s="12" t="str">
        <x:v>天</x:v>
      </x:c>
      <x:c r="C17" s="40"/>
      <x:c r="D17" s="40" t="n">
        <x:v>90</x:v>
      </x:c>
      <x:c r="E17" s="12" t="str">
        <x:v>教学假设</x:v>
      </x:c>
      <x:c r="F17" s="12" t="str">
        <x:v>与成本页3个月预算窗口对应；假设每月30天</x:v>
      </x:c>
    </x:row>
    <x:row r="18" ht="52" customHeight="1">
      <x:c r="A18" s="12" t="str">
        <x:v>年化换算天数</x:v>
      </x:c>
      <x:c r="B18" s="12" t="str">
        <x:v>天／年</x:v>
      </x:c>
      <x:c r="C18" s="40"/>
      <x:c r="D18" s="40" t="n">
        <x:v>365</x:v>
      </x:c>
      <x:c r="E18" s="12" t="str">
        <x:v>示例约定</x:v>
      </x:c>
      <x:c r="F18" s="12" t="str">
        <x:v>正式改用银行口径并同步所有换算</x:v>
      </x:c>
    </x:row>
    <x:row r="19" ht="52" customHeight="1">
      <x:c r="A19" s="12" t="str">
        <x:v>原方案单位贡献</x:v>
      </x:c>
      <x:c r="B19" s="12" t="str">
        <x:v>元／增量客户</x:v>
      </x:c>
      <x:c r="C19" s="41"/>
      <x:c r="D19" s="42" t="n">
        <x:f>'原始依据'!B11</x:f>
        <x:v>200</x:v>
      </x:c>
      <x:c r="E19" s="12" t="str">
        <x:v>原模拟假设</x:v>
      </x:c>
      <x:c r="F19" s="12" t="str">
        <x:v>仅作参照，不参与本页拆分结果</x:v>
      </x:c>
    </x:row>
    <x:row r="20" ht="30" customHeight="1">
      <x:c r="A20" s="12"/>
      <x:c r="B20" s="12"/>
      <x:c r="C20" s="41"/>
      <x:c r="D20" s="41"/>
      <x:c r="E20" s="2"/>
      <x:c r="F20" s="2"/>
    </x:row>
    <x:row r="21" ht="30" customHeight="1">
      <x:c r="A21" s="12" t="str">
        <x:v>输入状态</x:v>
      </x:c>
      <x:c r="B21" s="12"/>
      <x:c r="C21" s="43" t="str">
        <x:f>IF(COUNT(C8:C18)&lt;11,"缺少参数",IF(OR(MIN(C8:C17)&lt;0,C18&lt;=0,C9&gt;C17,C11&gt;1,C13&gt;1),"参数无效","完整"))</x:f>
        <x:v>缺少参数</x:v>
      </x:c>
      <x:c r="D21" s="43" t="str">
        <x:f>IF(COUNT(D8:D18)&lt;11,"缺少参数",IF(OR(MIN(D8:D17)&lt;0,D18&lt;=0,D9&gt;D17,D11&gt;1,D13&gt;1),"参数无效","完整"))</x:f>
        <x:v>完整</x:v>
      </x:c>
      <x:c r="E21" s="2"/>
      <x:c r="F21" s="2"/>
    </x:row>
    <x:row r="22" ht="30" customHeight="1">
      <x:c r="A22" s="12"/>
      <x:c r="B22" s="12"/>
      <x:c r="C22" s="41"/>
      <x:c r="D22" s="41"/>
      <x:c r="E22" s="2"/>
      <x:c r="F22" s="2"/>
    </x:row>
    <x:row r="23" ht="30" customHeight="1">
      <x:c r="A23" s="12" t="str">
        <x:v>净资金贡献</x:v>
      </x:c>
      <x:c r="B23" s="12"/>
      <x:c r="C23" s="43" t="str">
        <x:f>IF(C21&lt;&gt;"完整","n.a.",C8*C9/C18*C10)</x:f>
        <x:v>n.a.</x:v>
      </x:c>
      <x:c r="D23" s="43" t="n">
        <x:f>IF(D21&lt;&gt;"完整","n.a.",D8*D9/D18*D10)</x:f>
        <x:v>16.43835616438356</x:v>
      </x:c>
      <x:c r="E23" s="2"/>
      <x:c r="F23" s="12" t="str">
        <x:v>资金与配置收入须按来源核验；若净资金贡献已含配置收入，不能再加一遍。</x:v>
      </x:c>
    </x:row>
    <x:row r="24" ht="30" customHeight="1">
      <x:c r="A24" s="12" t="str">
        <x:v>净配置贡献</x:v>
      </x:c>
      <x:c r="B24" s="12"/>
      <x:c r="C24" s="43" t="str">
        <x:f>IF(C21&lt;&gt;"完整","n.a.",C11*C12*C13)</x:f>
        <x:v>n.a.</x:v>
      </x:c>
      <x:c r="D24" s="43" t="n">
        <x:f>IF(D21&lt;&gt;"完整","n.a.",D11*D12*D13)</x:f>
        <x:v>4.8</x:v>
      </x:c>
      <x:c r="E24" s="2"/>
      <x:c r="F24" s="12"/>
    </x:row>
    <x:row r="25" ht="30" customHeight="1">
      <x:c r="A25" s="12" t="str">
        <x:v>可核验服务节约</x:v>
      </x:c>
      <x:c r="B25" s="12"/>
      <x:c r="C25" s="43" t="str">
        <x:f>IF(C21&lt;&gt;"完整","n.a.",C14/60*C15)</x:f>
        <x:v>n.a.</x:v>
      </x:c>
      <x:c r="D25" s="43" t="n">
        <x:f>IF(D21&lt;&gt;"完整","n.a.",D14/60*D15)</x:f>
        <x:v>5</x:v>
      </x:c>
      <x:c r="E25" s="2"/>
      <x:c r="F25" s="12" t="str">
        <x:v>本页节约为经济价值示例。实际节约可能只适用于不同服务客群，不能直接套用。</x:v>
      </x:c>
    </x:row>
    <x:row r="26" ht="30" customHeight="1">
      <x:c r="A26" s="12" t="str">
        <x:v>原业务替代损失</x:v>
      </x:c>
      <x:c r="B26" s="12"/>
      <x:c r="C26" s="43" t="str">
        <x:f>IF(C21&lt;&gt;"完整","n.a.",C16)</x:f>
        <x:v>n.a.</x:v>
      </x:c>
      <x:c r="D26" s="43" t="n">
        <x:f>IF(D21&lt;&gt;"完整","n.a.",D16)</x:f>
        <x:v>20</x:v>
      </x:c>
      <x:c r="E26" s="2"/>
      <x:c r="F26" s="12"/>
    </x:row>
    <x:row r="27" ht="30" customHeight="1">
      <x:c r="A27" s="12"/>
      <x:c r="B27" s="12"/>
      <x:c r="C27" s="41"/>
      <x:c r="D27" s="41"/>
      <x:c r="E27" s="2"/>
      <x:c r="F27" s="12"/>
    </x:row>
    <x:row r="28" ht="30" customHeight="1">
      <x:c r="A28" s="34" t="str">
        <x:v>单位增量净贡献</x:v>
      </x:c>
      <x:c r="B28" s="34"/>
      <x:c r="C28" s="46" t="str">
        <x:f>IF(C21&lt;&gt;"完整","n.a.",SUM(C23:C25)-C26)</x:f>
        <x:v>n.a.</x:v>
      </x:c>
      <x:c r="D28" s="46" t="n">
        <x:f>IF(D21&lt;&gt;"完整","n.a.",SUM(D23:D25)-D26)</x:f>
        <x:v>6.2383561643835606</x:v>
      </x:c>
      <x:c r="E28" s="2"/>
      <x:c r="F28" s="12" t="str">
        <x:v>最终结果并非真实银行贡献。正式决策优先比较两臂每名入组客户的全行净贡献。</x:v>
      </x:c>
    </x:row>
    <x:row r="29" ht="30" customHeight="1">
      <x:c r="A29" s="2"/>
      <x:c r="B29" s="2"/>
      <x:c r="C29" s="2"/>
      <x:c r="D29" s="2"/>
      <x:c r="E29" s="2"/>
      <x:c r="F29" s="2"/>
    </x:row>
    <x:row r="30" ht="30" customHeight="1">
      <x:c r="A30" s="2"/>
      <x:c r="B30" s="2"/>
      <x:c r="C30" s="2"/>
      <x:c r="D30" s="2"/>
      <x:c r="E30" s="2"/>
      <x:c r="F30" s="2"/>
    </x:row>
    <x:row r="31" ht="30" customHeight="1">
      <x:c r="A31" s="2"/>
      <x:c r="B31" s="2"/>
      <x:c r="C31" s="2"/>
      <x:c r="D31" s="2"/>
      <x:c r="E31" s="2"/>
      <x:c r="F31" s="2"/>
    </x:row>
    <x:row r="32" ht="30" customHeight="1">
      <x:c r="A32" s="2"/>
      <x:c r="B32" s="2"/>
      <x:c r="C32" s="2"/>
      <x:c r="D32" s="2"/>
      <x:c r="E32" s="2"/>
      <x:c r="F32" s="2"/>
    </x:row>
    <x:row r="33" ht="30" customHeight="1">
      <x:c r="A33" s="2"/>
      <x:c r="B33" s="2"/>
      <x:c r="C33" s="2"/>
      <x:c r="D33" s="2"/>
      <x:c r="E33" s="2"/>
      <x:c r="F33" s="2"/>
    </x:row>
    <x:row r="34" ht="30" customHeight="1">
      <x:c r="A34" s="2"/>
      <x:c r="B34" s="2"/>
      <x:c r="C34" s="2"/>
      <x:c r="D34" s="2"/>
      <x:c r="E34" s="2"/>
      <x:c r="F34" s="2"/>
    </x:row>
    <x:row r="35" ht="30" customHeight="1">
      <x:c r="A35" s="2"/>
      <x:c r="B35" s="2"/>
      <x:c r="C35" s="2"/>
      <x:c r="D35" s="2"/>
      <x:c r="E35" s="2"/>
      <x:c r="F35" s="2"/>
    </x:row>
    <x:row r="36" ht="30" customHeight="1">
      <x:c r="A36" s="2"/>
      <x:c r="B36" s="2"/>
      <x:c r="C36" s="2"/>
      <x:c r="D36" s="2"/>
      <x:c r="E36" s="2"/>
      <x:c r="F36" s="2"/>
    </x:row>
    <x:row r="37" ht="30" customHeight="1">
      <x:c r="A37" s="2"/>
      <x:c r="B37" s="2"/>
      <x:c r="C37" s="2"/>
      <x:c r="D37" s="2"/>
      <x:c r="E37" s="2"/>
      <x:c r="F37" s="2"/>
    </x:row>
    <x:row r="38" ht="30" customHeight="1">
      <x:c r="A38" s="2"/>
      <x:c r="B38" s="2"/>
      <x:c r="C38" s="2"/>
      <x:c r="D38" s="2"/>
      <x:c r="E38" s="2"/>
      <x:c r="F38" s="2"/>
    </x:row>
    <x:row r="39" ht="30" customHeight="1">
      <x:c r="A39" s="2"/>
      <x:c r="B39" s="2"/>
      <x:c r="C39" s="2"/>
      <x:c r="D39" s="2"/>
      <x:c r="E39" s="2"/>
      <x:c r="F39" s="2"/>
    </x:row>
    <x:row r="40" ht="30" customHeight="1">
      <x:c r="A40" s="2"/>
      <x:c r="B40" s="2"/>
      <x:c r="C40" s="2"/>
      <x:c r="D40" s="2"/>
      <x:c r="E40" s="2"/>
      <x:c r="F40" s="2"/>
    </x:row>
    <x:row r="41" ht="30" customHeight="1">
      <x:c r="A41" s="2"/>
      <x:c r="B41" s="2"/>
      <x:c r="C41" s="2"/>
      <x:c r="D41" s="2"/>
      <x:c r="E41" s="2"/>
      <x:c r="F41" s="2"/>
    </x:row>
    <x:row r="42" ht="30" customHeight="1">
      <x:c r="A42" s="2"/>
      <x:c r="B42" s="2"/>
      <x:c r="C42" s="2"/>
      <x:c r="D42" s="2"/>
      <x:c r="E42" s="2"/>
      <x:c r="F42" s="2"/>
    </x:row>
    <x:row r="43" ht="30" customHeight="1">
      <x:c r="A43" s="2"/>
      <x:c r="B43" s="2"/>
      <x:c r="C43" s="2"/>
      <x:c r="D43" s="2"/>
      <x:c r="E43" s="2"/>
      <x:c r="F43" s="2"/>
    </x:row>
    <x:row r="44" ht="30" customHeight="1">
      <x:c r="A44" s="2"/>
      <x:c r="B44" s="2"/>
      <x:c r="C44" s="2"/>
      <x:c r="D44" s="2"/>
      <x:c r="E44" s="2"/>
      <x:c r="F44" s="2"/>
    </x:row>
    <x:row r="45" ht="30" customHeight="1">
      <x:c r="A45" s="2"/>
      <x:c r="B45" s="2"/>
      <x:c r="C45" s="2"/>
      <x:c r="D45" s="2"/>
      <x:c r="E45" s="2"/>
      <x:c r="F4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4" hidden="0" customWidth="1"/>
    <x:col min="2" max="2" width="24" hidden="0" customWidth="1"/>
    <x:col min="3" max="3" width="23" hidden="0" customWidth="1"/>
    <x:col min="4" max="4" width="23" hidden="0" customWidth="1"/>
    <x:col min="5" max="5" width="23" hidden="0" customWidth="1"/>
    <x:col min="6" max="6" width="65" hidden="0" customWidth="1"/>
  </x:cols>
  <x:sheetData>
    <x:row r="1" ht="30" customHeight="1">
      <x:c r="A1" s="2"/>
      <x:c r="B1" s="2"/>
      <x:c r="C1" s="2"/>
      <x:c r="D1" s="2"/>
      <x:c r="E1" s="2"/>
      <x:c r="F1" s="2"/>
    </x:row>
    <x:row r="2" ht="30" customHeight="1">
      <x:c r="A2" s="3" t="str">
        <x:v>建设投入与持续费用</x:v>
      </x:c>
      <x:c r="B2" s="2"/>
      <x:c r="C2" s="2"/>
      <x:c r="D2" s="2"/>
      <x:c r="E2" s="2"/>
      <x:c r="F2" s="2"/>
    </x:row>
    <x:row r="3" ht="30" customHeight="1">
      <x:c r="A3" s="2" t="str">
        <x:v>主模型口径</x:v>
      </x:c>
      <x:c r="B3" s="2"/>
      <x:c r="C3" s="2"/>
      <x:c r="D3" s="29" t="str">
        <x:f>'测算与敏感性'!D3</x:f>
        <x:v>原方案情景</x:v>
      </x:c>
      <x:c r="E3" s="2"/>
      <x:c r="F3" s="2"/>
    </x:row>
    <x:row r="4" ht="30" customHeight="1">
      <x:c r="A4" s="2" t="str">
        <x:v>拆分值均为教学假设；评价期3个月×30天=90天。建设分摊是经济口径，不代表现金支付。</x:v>
      </x:c>
      <x:c r="B4" s="2"/>
      <x:c r="C4" s="2"/>
      <x:c r="D4" s="2"/>
      <x:c r="E4" s="2"/>
      <x:c r="F4" s="2"/>
    </x:row>
    <x:row r="5" ht="30" customHeight="1">
      <x:c r="A5" s="2"/>
      <x:c r="B5" s="2"/>
      <x:c r="C5" s="2"/>
      <x:c r="D5" s="2"/>
      <x:c r="E5" s="2"/>
      <x:c r="F5" s="2"/>
    </x:row>
    <x:row r="6" ht="32" customHeight="1">
      <x:c r="A6" s="6" t="str">
        <x:v>驱动／结果</x:v>
      </x:c>
      <x:c r="B6" s="6" t="str">
        <x:v>单位</x:v>
      </x:c>
      <x:c r="C6" s="6" t="str">
        <x:v>B−A</x:v>
      </x:c>
      <x:c r="D6" s="6" t="str">
        <x:v>T−B 拆分示例</x:v>
      </x:c>
      <x:c r="E6" s="6" t="str">
        <x:v>依据类型</x:v>
      </x:c>
      <x:c r="F6" s="6" t="str">
        <x:v>定义与核验要求</x:v>
      </x:c>
    </x:row>
    <x:row r="7" ht="30" customHeight="1">
      <x:c r="A7" s="2"/>
      <x:c r="B7" s="2"/>
      <x:c r="C7" s="2"/>
      <x:c r="D7" s="2"/>
      <x:c r="E7" s="2"/>
      <x:c r="F7" s="2"/>
    </x:row>
    <x:row r="8" ht="52" customHeight="1">
      <x:c r="A8" s="12" t="str">
        <x:v>未复用前建设工时</x:v>
      </x:c>
      <x:c r="B8" s="12" t="str">
        <x:v>小时</x:v>
      </x:c>
      <x:c r="C8" s="40"/>
      <x:c r="D8" s="40" t="n">
        <x:v>40</x:v>
      </x:c>
      <x:c r="E8" s="12" t="str">
        <x:v>教学假设</x:v>
      </x:c>
      <x:c r="F8" s="12" t="str">
        <x:v>需需求、研发、联调与验收估算</x:v>
      </x:c>
    </x:row>
    <x:row r="9" ht="52" customHeight="1">
      <x:c r="A9" s="12" t="str">
        <x:v>可复用工时比例</x:v>
      </x:c>
      <x:c r="B9" s="12" t="str">
        <x:v>比例</x:v>
      </x:c>
      <x:c r="C9" s="16"/>
      <x:c r="D9" s="16" t="n">
        <x:v>0.6</x:v>
      </x:c>
      <x:c r="E9" s="12" t="str">
        <x:v>教学假设</x:v>
      </x:c>
      <x:c r="F9" s="12" t="str">
        <x:v>只有确实无需重复投入的部分才可扣除</x:v>
      </x:c>
    </x:row>
    <x:row r="10" ht="52" customHeight="1">
      <x:c r="A10" s="12" t="str">
        <x:v>建设小时成本</x:v>
      </x:c>
      <x:c r="B10" s="12" t="str">
        <x:v>元／小时</x:v>
      </x:c>
      <x:c r="C10" s="40"/>
      <x:c r="D10" s="40" t="n">
        <x:v>150</x:v>
      </x:c>
      <x:c r="E10" s="12" t="str">
        <x:v>教学假设</x:v>
      </x:c>
      <x:c r="F10" s="12" t="str">
        <x:v>新增支出或内部工时价值，真实口径另核</x:v>
      </x:c>
    </x:row>
    <x:row r="11" ht="52" customHeight="1">
      <x:c r="A11" s="12" t="str">
        <x:v>本方案受益分摊比例</x:v>
      </x:c>
      <x:c r="B11" s="12" t="str">
        <x:v>比例</x:v>
      </x:c>
      <x:c r="C11" s="16"/>
      <x:c r="D11" s="16" t="n">
        <x:v>0.5</x:v>
      </x:c>
      <x:c r="E11" s="12" t="str">
        <x:v>教学假设</x:v>
      </x:c>
      <x:c r="F11" s="12" t="str">
        <x:v>须明确其他受益对象；全项目另看未分摊投入</x:v>
      </x:c>
    </x:row>
    <x:row r="12" ht="52" customHeight="1">
      <x:c r="A12" s="12" t="str">
        <x:v>建设受益期限</x:v>
      </x:c>
      <x:c r="B12" s="12" t="str">
        <x:v>月</x:v>
      </x:c>
      <x:c r="C12" s="40"/>
      <x:c r="D12" s="40" t="n">
        <x:v>12</x:v>
      </x:c>
      <x:c r="E12" s="12" t="str">
        <x:v>教学假设</x:v>
      </x:c>
      <x:c r="F12" s="12" t="str">
        <x:v>线性分摊示例，不代表财务资本化或折旧政策</x:v>
      </x:c>
    </x:row>
    <x:row r="13" ht="52" customHeight="1">
      <x:c r="A13" s="12" t="str">
        <x:v>经济评价期</x:v>
      </x:c>
      <x:c r="B13" s="12" t="str">
        <x:v>月</x:v>
      </x:c>
      <x:c r="C13" s="40"/>
      <x:c r="D13" s="40" t="n">
        <x:v>3</x:v>
      </x:c>
      <x:c r="E13" s="12" t="str">
        <x:v>教学假设</x:v>
      </x:c>
      <x:c r="F13" s="12" t="str">
        <x:v>3个月×30天，与单位贡献页90天一致</x:v>
      </x:c>
    </x:row>
    <x:row r="14" ht="52" customHeight="1">
      <x:c r="A14" s="12" t="str">
        <x:v>持续运维费用</x:v>
      </x:c>
      <x:c r="B14" s="12" t="str">
        <x:v>元／月</x:v>
      </x:c>
      <x:c r="C14" s="40"/>
      <x:c r="D14" s="40" t="n">
        <x:v>300</x:v>
      </x:c>
      <x:c r="E14" s="12" t="str">
        <x:v>教学假设</x:v>
      </x:c>
      <x:c r="F14" s="12" t="str">
        <x:v>监控、运行、维护，不能重复计入建设</x:v>
      </x:c>
    </x:row>
    <x:row r="15" ht="52" customHeight="1">
      <x:c r="A15" s="12" t="str">
        <x:v>新增内容审核工时</x:v>
      </x:c>
      <x:c r="B15" s="12" t="str">
        <x:v>小时</x:v>
      </x:c>
      <x:c r="C15" s="40"/>
      <x:c r="D15" s="40" t="n">
        <x:v>8</x:v>
      </x:c>
      <x:c r="E15" s="12" t="str">
        <x:v>教学假设</x:v>
      </x:c>
      <x:c r="F15" s="12" t="str">
        <x:v>评价期内一次计入</x:v>
      </x:c>
    </x:row>
    <x:row r="16" ht="52" customHeight="1">
      <x:c r="A16" s="12" t="str">
        <x:v>审核小时成本</x:v>
      </x:c>
      <x:c r="B16" s="12" t="str">
        <x:v>元／小时</x:v>
      </x:c>
      <x:c r="C16" s="40"/>
      <x:c r="D16" s="40" t="n">
        <x:v>100</x:v>
      </x:c>
      <x:c r="E16" s="12" t="str">
        <x:v>教学假设</x:v>
      </x:c>
      <x:c r="F16" s="12" t="str">
        <x:v>需实际审批、复核工作量</x:v>
      </x:c>
    </x:row>
    <x:row r="17" ht="52" customHeight="1">
      <x:c r="A17" s="12" t="str">
        <x:v>人工服务返工比例</x:v>
      </x:c>
      <x:c r="B17" s="12" t="str">
        <x:v>比例</x:v>
      </x:c>
      <x:c r="C17" s="16"/>
      <x:c r="D17" s="16" t="n">
        <x:v>0.02</x:v>
      </x:c>
      <x:c r="E17" s="12" t="str">
        <x:v>教学假设</x:v>
      </x:c>
      <x:c r="F17" s="12" t="str">
        <x:v>与主表服务比例合用；不得在单次时长里重复包含</x:v>
      </x:c>
    </x:row>
    <x:row r="18" ht="52" customHeight="1">
      <x:c r="A18" s="12" t="str">
        <x:v>每次返工时间</x:v>
      </x:c>
      <x:c r="B18" s="12" t="str">
        <x:v>分钟</x:v>
      </x:c>
      <x:c r="C18" s="40"/>
      <x:c r="D18" s="40" t="n">
        <x:v>3</x:v>
      </x:c>
      <x:c r="E18" s="12" t="str">
        <x:v>教学假设</x:v>
      </x:c>
      <x:c r="F18" s="12" t="str">
        <x:v>按主表人工小时成本核算</x:v>
      </x:c>
    </x:row>
    <x:row r="19" ht="52" customHeight="1">
      <x:c r="A19" s="12" t="str">
        <x:v>保护事件预算数量</x:v>
      </x:c>
      <x:c r="B19" s="12" t="str">
        <x:v>件</x:v>
      </x:c>
      <x:c r="C19" s="40"/>
      <x:c r="D19" s="40" t="n">
        <x:v>2</x:v>
      </x:c>
      <x:c r="E19" s="12" t="str">
        <x:v>教学假设</x:v>
      </x:c>
      <x:c r="F19" s="12" t="str">
        <x:v>只用于费用预留，不能作为允许发生事件的阈值</x:v>
      </x:c>
    </x:row>
    <x:row r="20" ht="52" customHeight="1">
      <x:c r="A20" s="12" t="str">
        <x:v>每件保护事件处置预算</x:v>
      </x:c>
      <x:c r="B20" s="12" t="str">
        <x:v>元／件</x:v>
      </x:c>
      <x:c r="C20" s="40"/>
      <x:c r="D20" s="40" t="n">
        <x:v>200</x:v>
      </x:c>
      <x:c r="E20" s="12" t="str">
        <x:v>教学假设</x:v>
      </x:c>
      <x:c r="F20" s="12" t="str">
        <x:v>费用计量不代表客户保护可用收益抵消</x:v>
      </x:c>
    </x:row>
    <x:row r="21" ht="30" customHeight="1">
      <x:c r="A21" s="12"/>
      <x:c r="B21" s="12"/>
      <x:c r="C21" s="41"/>
      <x:c r="D21" s="41"/>
      <x:c r="E21" s="2"/>
      <x:c r="F21" s="2"/>
    </x:row>
    <x:row r="22" ht="30" customHeight="1">
      <x:c r="A22" s="12" t="str">
        <x:v>输入状态</x:v>
      </x:c>
      <x:c r="B22" s="12"/>
      <x:c r="C22" s="43" t="str">
        <x:f>IF(COUNT(C8:C20)&lt;13,"缺少参数",IF(OR(MIN(C8:C20)&lt;0,C12&lt;=0,C13&lt;=0,C9&gt;1,C11&gt;1,C17&gt;1),"参数无效","完整"))</x:f>
        <x:v>缺少参数</x:v>
      </x:c>
      <x:c r="D22" s="43" t="str">
        <x:f>IF(COUNT(D8:D20)&lt;13,"缺少参数",IF(OR(MIN(D8:D20)&lt;0,D12&lt;=0,D13&lt;=0,D9&gt;1,D11&gt;1,D17&gt;1),"参数无效","完整"))</x:f>
        <x:v>完整</x:v>
      </x:c>
      <x:c r="E22" s="2"/>
      <x:c r="F22" s="2"/>
    </x:row>
    <x:row r="23" ht="30" customHeight="1">
      <x:c r="A23" s="12"/>
      <x:c r="B23" s="12"/>
      <x:c r="C23" s="41"/>
      <x:c r="D23" s="41"/>
      <x:c r="E23" s="2"/>
      <x:c r="F23" s="2"/>
    </x:row>
    <x:row r="24" ht="30" customHeight="1">
      <x:c r="A24" s="12" t="str">
        <x:v>追加建设投入（未分摊）</x:v>
      </x:c>
      <x:c r="B24" s="12"/>
      <x:c r="C24" s="43" t="str">
        <x:f>IF(C22&lt;&gt;"完整","n.a.",C8*(1-C9)*C10)</x:f>
        <x:v>n.a.</x:v>
      </x:c>
      <x:c r="D24" s="43" t="n">
        <x:f>IF(D22&lt;&gt;"完整","n.a.",D8*(1-D9)*D10)</x:f>
        <x:v>2400</x:v>
      </x:c>
      <x:c r="E24" s="2"/>
      <x:c r="F24" s="2"/>
    </x:row>
    <x:row r="25" ht="30" customHeight="1">
      <x:c r="A25" s="12" t="str">
        <x:v>本方案评价期建设分摊</x:v>
      </x:c>
      <x:c r="B25" s="12"/>
      <x:c r="C25" s="43" t="str">
        <x:f>IF(C22&lt;&gt;"完整","n.a.",C24*C11*MIN(C13/C12,1))</x:f>
        <x:v>n.a.</x:v>
      </x:c>
      <x:c r="D25" s="43" t="n">
        <x:f>IF(D22&lt;&gt;"完整","n.a.",D24*D11*MIN(D13/D12,1))</x:f>
        <x:v>300</x:v>
      </x:c>
      <x:c r="E25" s="2"/>
      <x:c r="F25" s="12" t="str">
        <x:v>金额=未复用工时×小时成本×受益比例×评价期／受益期限；分摊上限为受益比例对应投入。</x:v>
      </x:c>
    </x:row>
    <x:row r="26" ht="30" customHeight="1">
      <x:c r="A26" s="12" t="str">
        <x:v>评价期运维</x:v>
      </x:c>
      <x:c r="B26" s="12"/>
      <x:c r="C26" s="43" t="str">
        <x:f>IF(C22&lt;&gt;"完整","n.a.",C13*C14)</x:f>
        <x:v>n.a.</x:v>
      </x:c>
      <x:c r="D26" s="43" t="n">
        <x:f>IF(D22&lt;&gt;"完整","n.a.",D13*D14)</x:f>
        <x:v>900</x:v>
      </x:c>
      <x:c r="E26" s="2"/>
      <x:c r="F26" s="12"/>
    </x:row>
    <x:row r="27" ht="30" customHeight="1">
      <x:c r="A27" s="12" t="str">
        <x:v>新增内容审核</x:v>
      </x:c>
      <x:c r="B27" s="12"/>
      <x:c r="C27" s="43" t="str">
        <x:f>IF(C22&lt;&gt;"完整","n.a.",C15*C16)</x:f>
        <x:v>n.a.</x:v>
      </x:c>
      <x:c r="D27" s="43" t="n">
        <x:f>IF(D22&lt;&gt;"完整","n.a.",D15*D16)</x:f>
        <x:v>800</x:v>
      </x:c>
      <x:c r="E27" s="2"/>
      <x:c r="F27" s="12"/>
    </x:row>
    <x:row r="28" ht="30" customHeight="1">
      <x:c r="A28" s="12" t="str">
        <x:v>服务返工</x:v>
      </x:c>
      <x:c r="B28" s="12"/>
      <x:c r="C28" s="42" t="str">
        <x:f>IF(C22&lt;&gt;"完整","n.a.",IF(COUNT('测算与敏感性'!C8,'测算与敏感性'!C12,'测算与敏感性'!C14)&lt;3,"n.a.",'测算与敏感性'!C8*'测算与敏感性'!C12*C17*C18/60*'测算与敏感性'!C14))</x:f>
        <x:v>n.a.</x:v>
      </x:c>
      <x:c r="D28" s="42" t="n">
        <x:f>IF(D22&lt;&gt;"完整","n.a.",IF(COUNT('测算与敏感性'!D8,'测算与敏感性'!D12,'测算与敏感性'!D14)&lt;3,"n.a.",'测算与敏感性'!D8*'测算与敏感性'!D12*D17*D18/60*'测算与敏感性'!D14))</x:f>
        <x:v>150</x:v>
      </x:c>
      <x:c r="E28" s="2"/>
      <x:c r="F28" s="12"/>
    </x:row>
    <x:row r="29" ht="30" customHeight="1">
      <x:c r="A29" s="12" t="str">
        <x:v>保护处置预算</x:v>
      </x:c>
      <x:c r="B29" s="12"/>
      <x:c r="C29" s="43" t="str">
        <x:f>IF(C22&lt;&gt;"完整","n.a.",C19*C20)</x:f>
        <x:v>n.a.</x:v>
      </x:c>
      <x:c r="D29" s="43" t="n">
        <x:f>IF(D22&lt;&gt;"完整","n.a.",D19*D20)</x:f>
        <x:v>400</x:v>
      </x:c>
      <x:c r="E29" s="2"/>
      <x:c r="F29" s="12"/>
    </x:row>
    <x:row r="30" ht="30" customHeight="1">
      <x:c r="A30" s="12"/>
      <x:c r="B30" s="12"/>
      <x:c r="C30" s="41"/>
      <x:c r="D30" s="41"/>
      <x:c r="E30" s="2"/>
      <x:c r="F30" s="12"/>
    </x:row>
    <x:row r="31" ht="30" customHeight="1">
      <x:c r="A31" s="44" t="str">
        <x:v>建设分摊及运维</x:v>
      </x:c>
      <x:c r="B31" s="44"/>
      <x:c r="C31" s="45" t="str">
        <x:f>IF(C22&lt;&gt;"完整","n.a.",SUM(C25:C26))</x:f>
        <x:v>n.a.</x:v>
      </x:c>
      <x:c r="D31" s="45" t="n">
        <x:f>IF(D22&lt;&gt;"完整","n.a.",SUM(D25:D26))</x:f>
        <x:v>1200</x:v>
      </x:c>
      <x:c r="E31" s="2"/>
      <x:c r="F31" s="12"/>
    </x:row>
    <x:row r="32" ht="30" customHeight="1">
      <x:c r="A32" s="44" t="str">
        <x:v>其他新增费用</x:v>
      </x:c>
      <x:c r="B32" s="44"/>
      <x:c r="C32" s="45" t="str">
        <x:f>IF(C22&lt;&gt;"完整","n.a.",IF(ISNUMBER(C28),SUM(C27:C29),"n.a."))</x:f>
        <x:v>n.a.</x:v>
      </x:c>
      <x:c r="D32" s="45" t="n">
        <x:f>IF(D22&lt;&gt;"完整","n.a.",IF(ISNUMBER(D28),SUM(D27:D29),"n.a."))</x:f>
        <x:v>1350</x:v>
      </x:c>
      <x:c r="E32" s="2"/>
      <x:c r="F32" s="12"/>
    </x:row>
    <x:row r="33" ht="30" customHeight="1">
      <x:c r="A33" s="12"/>
      <x:c r="B33" s="12"/>
      <x:c r="C33" s="41"/>
      <x:c r="D33" s="41"/>
      <x:c r="E33" s="2"/>
      <x:c r="F33" s="12"/>
    </x:row>
    <x:row r="34" ht="30" customHeight="1">
      <x:c r="A34" s="44" t="str">
        <x:v>全额建设投入成本口径</x:v>
      </x:c>
      <x:c r="B34" s="44"/>
      <x:c r="C34" s="47" t="str">
        <x:f>IF(C22&lt;&gt;"完整","n.a.",IF(AND(ISNUMBER('测算与敏感性'!C23),ISNUMBER('测算与敏感性'!C26),ISNUMBER(C32)),SUM('测算与敏感性'!C23,'测算与敏感性'!C26,C24,C26,C32),"n.a."))</x:f>
        <x:v>n.a.</x:v>
      </x:c>
      <x:c r="D34" s="47" t="n">
        <x:f>IF(D22&lt;&gt;"完整","n.a.",IF(AND(ISNUMBER('测算与敏感性'!D23),ISNUMBER('测算与敏感性'!D26),ISNUMBER(D32)),SUM('测算与敏感性'!D23,'测算与敏感性'!D26,D24,D26,D32),"n.a."))</x:f>
        <x:v>14650</x:v>
      </x:c>
      <x:c r="E34" s="2"/>
      <x:c r="F34" s="12" t="str">
        <x:v>包含未分摊建设投入，不叠加建设分摊；内部工时成本不一定是现金流。本项是投入视角。</x:v>
      </x:c>
    </x:row>
    <x:row r="35" ht="30" customHeight="1">
      <x:c r="A35" s="2"/>
      <x:c r="B35" s="2"/>
      <x:c r="C35" s="2"/>
      <x:c r="D35" s="2"/>
      <x:c r="E35" s="2"/>
      <x:c r="F35" s="2"/>
    </x:row>
    <x:row r="36" ht="30" customHeight="1">
      <x:c r="A36" s="2"/>
      <x:c r="B36" s="2"/>
      <x:c r="C36" s="2"/>
      <x:c r="D36" s="2"/>
      <x:c r="E36" s="2"/>
      <x:c r="F36" s="2"/>
    </x:row>
    <x:row r="37" ht="52" customHeight="1">
      <x:c r="A37" s="2" t="str">
        <x:v>经济期匹配</x:v>
      </x:c>
      <x:c r="B37" s="2"/>
      <x:c r="C37" s="2"/>
      <x:c r="D37" s="29" t="str">
        <x:f>IF(AND(ISNUMBER(D13),ISNUMBER('单位贡献拆分'!D17)),IF(D13*30='单位贡献拆分'!D17,"匹配","评价期不一致"),"缺少评价期")</x:f>
        <x:v>匹配</x:v>
      </x:c>
      <x:c r="E37" s="2"/>
      <x:c r="F37" s="12" t="str">
        <x:v>按每月30天的示例约定核对；真实应明确日期并按实际期限配对。</x:v>
      </x:c>
    </x:row>
    <x:row r="38" ht="30" customHeight="1">
      <x:c r="A38" s="2"/>
      <x:c r="B38" s="2"/>
      <x:c r="C38" s="2"/>
      <x:c r="D38" s="2"/>
      <x:c r="E38" s="2"/>
      <x:c r="F38" s="2"/>
    </x:row>
    <x:row r="39" ht="30" customHeight="1">
      <x:c r="A39" s="2"/>
      <x:c r="B39" s="2"/>
      <x:c r="C39" s="2"/>
      <x:c r="D39" s="2"/>
      <x:c r="E39" s="2"/>
      <x:c r="F39" s="2"/>
    </x:row>
    <x:row r="40" ht="30" customHeight="1">
      <x:c r="A40" s="2"/>
      <x:c r="B40" s="2"/>
      <x:c r="C40" s="2"/>
      <x:c r="D40" s="2"/>
      <x:c r="E40" s="2"/>
      <x:c r="F40" s="2"/>
    </x:row>
    <x:row r="41" ht="30" customHeight="1">
      <x:c r="A41" s="2"/>
      <x:c r="B41" s="2"/>
      <x:c r="C41" s="2"/>
      <x:c r="D41" s="2"/>
      <x:c r="E41" s="2"/>
      <x:c r="F41" s="2"/>
    </x:row>
    <x:row r="42" ht="30" customHeight="1">
      <x:c r="A42" s="2"/>
      <x:c r="B42" s="2"/>
      <x:c r="C42" s="2"/>
      <x:c r="D42" s="2"/>
      <x:c r="E42" s="2"/>
      <x:c r="F42" s="2"/>
    </x:row>
    <x:row r="43" ht="30" customHeight="1">
      <x:c r="A43" s="2"/>
      <x:c r="B43" s="2"/>
      <x:c r="C43" s="2"/>
      <x:c r="D43" s="2"/>
      <x:c r="E43" s="2"/>
      <x:c r="F43" s="2"/>
    </x:row>
    <x:row r="44" ht="30" customHeight="1">
      <x:c r="A44" s="2"/>
      <x:c r="B44" s="2"/>
      <x:c r="C44" s="2"/>
      <x:c r="D44" s="2"/>
      <x:c r="E44" s="2"/>
      <x:c r="F44" s="2"/>
    </x:row>
    <x:row r="45" ht="30" customHeight="1">
      <x:c r="A45" s="2"/>
      <x:c r="B45" s="2"/>
      <x:c r="C45" s="2"/>
      <x:c r="D45" s="2"/>
      <x:c r="E45" s="2"/>
      <x:c r="F45" s="2"/>
    </x:row>
  </x:sheetData>
  <x:pageMargins left="0.7" right="0.7" top="0.75" bottom="0.75" header="0.3" footer="0.3"/>
</x:worksheet>
</file>