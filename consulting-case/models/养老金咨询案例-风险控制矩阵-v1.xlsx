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c5c49a2a0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证概览" sheetId="1" r:id="R71fb780fa4054a3c"/>
    <x:sheet xmlns:r="http://schemas.openxmlformats.org/officeDocument/2006/relationships" name="风险控制矩阵" sheetId="2" r:id="R7b7aa9f44cbf4277"/>
    <x:sheet xmlns:r="http://schemas.openxmlformats.org/officeDocument/2006/relationships" name="证据索引" sheetId="3" r:id="R643ae89a55e941c5"/>
    <x:sheet xmlns:r="http://schemas.openxmlformats.org/officeDocument/2006/relationships" name="模拟发现报告" sheetId="4" r:id="Re0c6e4441e384d3c"/>
    <x:sheet xmlns:r="http://schemas.openxmlformats.org/officeDocument/2006/relationships" name="许可测试底稿" sheetId="5" r:id="Rc12d1076c27e489e"/>
    <x:sheet xmlns:r="http://schemas.openxmlformats.org/officeDocument/2006/relationships" name="首缴复算底稿" sheetId="6" r:id="R0f2024e603e94b16"/>
    <x:sheet xmlns:r="http://schemas.openxmlformats.org/officeDocument/2006/relationships" name="成本复核底稿" sheetId="7" r:id="R04a065bb39f5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;(0.00%);&quot;—&quot;"/>
    <x:numFmt numFmtId="204" formatCode="#,##0;(#,##0);&quot;—&quot;"/>
    <x:numFmt numFmtId="205" formatCode="0.00%"/>
  </x:numFmts>
  <x:fonts count="4">
    <x:font>
      <x:sz val="11"/>
      <x:name val="Carlito"/>
    </x:font>
    <x:font>
      <x:sz val="11"/>
      <x:color rgb="FF203550"/>
      <x:name val="Arial"/>
    </x:font>
    <x:font>
      <x:b/>
      <x:sz val="16"/>
      <x:color rgb="FF20355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550"/>
      </x:patternFill>
    </x:fill>
    <x:fill>
      <x:patternFill patternType="solid">
        <x:fgColor rgb="FFF0F4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C1C"/>
      </x:font>
      <x:fill>
        <x:patternFill patternType="solid">
          <x:bgColor rgb="FFFCE4E4"/>
        </x:patternFill>
      </x:fill>
    </x:dxf>
    <x:dxf>
      <x:font>
        <x:color rgb="FFA61C1C"/>
      </x:font>
      <x:fill>
        <x:patternFill patternType="solid">
          <x:bgColor rgb="FFFCE4E4"/>
        </x:patternFill>
      </x:fill>
    </x:dxf>
    <x:dxf>
      <x:font>
        <x:b/>
        <x:color rgb="FFA6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e9b22e6384a96" /><Relationship Type="http://schemas.openxmlformats.org/officeDocument/2006/relationships/theme" Target="/xl/theme/theme1.xml" Id="R9e1d98a474ad4e3c" /><Relationship Type="http://schemas.openxmlformats.org/officeDocument/2006/relationships/sharedStrings" Target="/xl/sharedStrings.xml" Id="R62fcd1e26dc34aef" /><Relationship Type="http://schemas.openxmlformats.org/officeDocument/2006/relationships/worksheet" Target="/xl/worksheets/sheet1.xml" Id="R71fb780fa4054a3c" /><Relationship Type="http://schemas.openxmlformats.org/officeDocument/2006/relationships/worksheet" Target="/xl/worksheets/sheet2.xml" Id="R7b7aa9f44cbf4277" /><Relationship Type="http://schemas.openxmlformats.org/officeDocument/2006/relationships/worksheet" Target="/xl/worksheets/sheet3.xml" Id="R643ae89a55e941c5" /><Relationship Type="http://schemas.openxmlformats.org/officeDocument/2006/relationships/worksheet" Target="/xl/worksheets/sheet4.xml" Id="Re0c6e4441e384d3c" /><Relationship Type="http://schemas.openxmlformats.org/officeDocument/2006/relationships/worksheet" Target="/xl/worksheets/sheet5.xml" Id="Rc12d1076c27e489e" /><Relationship Type="http://schemas.openxmlformats.org/officeDocument/2006/relationships/worksheet" Target="/xl/worksheets/sheet6.xml" Id="R0f2024e603e94b16" /><Relationship Type="http://schemas.openxmlformats.org/officeDocument/2006/relationships/worksheet" Target="/xl/worksheets/sheet7.xml" Id="R04a065bb39f54a35" /></Relationships>
</file>

<file path=xl/tables/table1.xml><?xml version="1.0" encoding="utf-8"?>
<x:table xmlns:x="http://schemas.openxmlformats.org/spreadsheetml/2006/main" id="1" name="RiskControls" displayName="RiskControls" ref="A6:T20" headerRowCount="1" totalsRowCount="0" totalsRowShown="0">
  <x:autoFilter ref="A6:T20"/>
  <x:tableColumns count="20">
    <x:tableColumn id="1" name="风险ID"/>
    <x:tableColumn id="2" name="流程"/>
    <x:tableColumn id="3" name="风险事件"/>
    <x:tableColumn id="4" name="潜在后果"/>
    <x:tableColumn id="5" name="控制目标"/>
    <x:tableColumn id="6" name="控制措施"/>
    <x:tableColumn id="7" name="控制类型"/>
    <x:tableColumn id="8" name="执行时点"/>
    <x:tableColumn id="9" name="建议责任方"/>
    <x:tableColumn id="10" name="建议测试程序"/>
    <x:tableColumn id="11" name="通过标准"/>
    <x:tableColumn id="12" name="已有证据与位置"/>
    <x:tableColumn id="13" name="证据边界"/>
    <x:tableColumn id="14" name="待补材料"/>
    <x:tableColumn id="15" name="验证进度"/>
    <x:tableColumn id="16" name="缺陷整改状态"/>
    <x:tableColumn id="17" name="复核证据位置"/>
    <x:tableColumn id="18" name="跟进日期"/>
    <x:tableColumn id="19" name="关闭复核"/>
    <x:tableColumn id="20" name="记录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e32b564d44e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1" hidden="0" customWidth="1"/>
    <x:col min="3" max="3" width="80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8" customHeight="1">
      <x:c r="A2" s="2" t="str">
        <x:v>风险控制验证概览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8" customHeight="1">
      <x:c r="A4" s="1" t="str">
        <x:v>2026.10.09 独立咨询案例。关闭记录完整不代表真实控制有效或正式银行审批。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8" customHeight="1">
      <x:c r="A6" s="6" t="str">
        <x:v>跟踪项</x:v>
      </x:c>
      <x:c r="B6" s="6" t="str">
        <x:v>数量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8" customHeight="1">
      <x:c r="A7" s="1" t="str">
        <x:v>风险控制项</x:v>
      </x:c>
      <x:c r="B7" s="12" t="n">
        <x:f>COUNTA('风险控制矩阵'!A7:A20)</x:f>
        <x:v>14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8" customHeight="1">
      <x:c r="A8" s="1" t="str">
        <x:v>尚未验证</x:v>
      </x:c>
      <x:c r="B8" s="12" t="n">
        <x:f>COUNTIFS('风险控制矩阵'!O7:O20,"未验证")</x:f>
        <x:v>14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8" customHeight="1">
      <x:c r="A9" s="1" t="str">
        <x:v>验证中</x:v>
      </x:c>
      <x:c r="B9" s="12" t="n">
        <x:f>COUNTIFS('风险控制矩阵'!O7:O20,"验证中")</x:f>
        <x:v>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8" customHeight="1">
      <x:c r="A10" s="1" t="str">
        <x:v>验证通过记录</x:v>
      </x:c>
      <x:c r="B10" s="12" t="n">
        <x:f>COUNTIFS('风险控制矩阵'!O7:O20,"通过")</x:f>
        <x:v>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8" customHeight="1">
      <x:c r="A11" s="1" t="str">
        <x:v>验证不通过</x:v>
      </x:c>
      <x:c r="B11" s="12" t="n">
        <x:f>COUNTIFS('风险控制矩阵'!O7:O20,"不通过")</x:f>
        <x:v>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8" customHeight="1">
      <x:c r="A12" s="1" t="str">
        <x:v>需整改记录</x:v>
      </x:c>
      <x:c r="B12" s="12" t="n">
        <x:f>COUNTIFS('风险控制矩阵'!T7:T20,"需整改")</x:f>
        <x:v>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8" customHeight="1">
      <x:c r="A13" s="1" t="str">
        <x:v>关闭记录齐全</x:v>
      </x:c>
      <x:c r="B13" s="12" t="n">
        <x:f>COUNTIFS('风险控制矩阵'!T7:T20,"关闭记录齐全")</x:f>
        <x:v>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8" customHeight="1">
      <x:c r="A14" s="1" t="str">
        <x:v>关闭依据不完整</x:v>
      </x:c>
      <x:c r="B14" s="12" t="n">
        <x:f>COUNTIFS('风险控制矩阵'!T7:T20,"关闭依据不完整")</x:f>
        <x:v>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38" customHeight="1">
      <x:c r="A17" s="6" t="str">
        <x:v>验证阶段</x:v>
      </x:c>
      <x:c r="B17" s="6" t="str">
        <x:v>对应风险</x:v>
      </x:c>
      <x:c r="C17" s="6" t="str">
        <x:v>需要完成的工作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72" customHeight="1">
      <x:c r="A18" s="7" t="str">
        <x:v>试点前</x:v>
      </x:c>
      <x:c r="B18" s="7" t="str">
        <x:v>R01–R06、R12–R13</x:v>
      </x:c>
      <x:c r="C18" s="7" t="str">
        <x:v>核客群、许可、服务保护、说明、接口、访问和版本；阶段顺序为建议，不是风险评分。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72" customHeight="1">
      <x:c r="A19" s="7" t="str">
        <x:v>评价准备及结果冻结</x:v>
      </x:c>
      <x:c r="B19" s="7" t="str">
        <x:v>R07–R09</x:v>
      </x:c>
      <x:c r="C19" s="7" t="str">
        <x:v>先固定分流、账务、成熟与缺失口径，再独立复算。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72" customHeight="1">
      <x:c r="A20" s="7" t="str">
        <x:v>投入及停止评审</x:v>
      </x:c>
      <x:c r="B20" s="7" t="str">
        <x:v>R10–R11</x:v>
      </x:c>
      <x:c r="C20" s="7" t="str">
        <x:v>核实贡献与费用，确认停止执行及扩展条件；收益不能抵消保护不满足。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72" customHeight="1">
      <x:c r="A21" s="7" t="str">
        <x:v>全程事件复核</x:v>
      </x:c>
      <x:c r="B21" s="7" t="str">
        <x:v>R14及相关控制</x:v>
      </x:c>
      <x:c r="C21" s="7" t="str">
        <x:v>记录事件、处理关联和严重问题，反馈至整改与回归验证。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38" customHeight="1">
      <x:c r="A24" s="6" t="str">
        <x:v>使用顺序</x:v>
      </x:c>
      <x:c r="B24" s="6" t="str">
        <x:v>填写位置</x:v>
      </x:c>
      <x:c r="C24" s="6" t="str">
        <x:v>注意事项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64" customHeight="1">
      <x:c r="A25" s="7" t="str">
        <x:v>1. 执行测试</x:v>
      </x:c>
      <x:c r="B25" s="7" t="str">
        <x:v>矩阵O列</x:v>
      </x:c>
      <x:c r="C25" s="7" t="str">
        <x:v>默认未验证；文档中的开发检查不自动变为银行验证通过。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64" customHeight="1">
      <x:c r="A26" s="7" t="str">
        <x:v>2. 记录缺陷</x:v>
      </x:c>
      <x:c r="B26" s="7" t="str">
        <x:v>矩阵P列</x:v>
      </x:c>
      <x:c r="C26" s="7" t="str">
        <x:v>无缺陷与未检查分开；发现问题后整改，再复核。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64" customHeight="1">
      <x:c r="A27" s="7" t="str">
        <x:v>3. 保存证据</x:v>
      </x:c>
      <x:c r="B27" s="7" t="str">
        <x:v>矩阵Q、R列</x:v>
      </x:c>
      <x:c r="C27" s="7" t="str">
        <x:v>记录可访问的证据位置和跟进日期；不能只写通过。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64" customHeight="1">
      <x:c r="A28" s="7" t="str">
        <x:v>4. 关闭复核</x:v>
      </x:c>
      <x:c r="B28" s="7" t="str">
        <x:v>矩阵S、T列</x:v>
      </x:c>
      <x:c r="C28" s="7" t="str">
        <x:v>验证通过、整改状态明确、证据齐全后再复核；错误关闭会提示依据不完整。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38" customHeight="1">
      <x:c r="A32" s="6" t="str">
        <x:v>模拟测试结果</x:v>
      </x:c>
      <x:c r="B32" s="6" t="str">
        <x:v>数量／金额</x:v>
      </x:c>
      <x:c r="C32" s="6" t="str">
        <x:v>解释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62" customHeight="1">
      <x:c r="A33" s="7" t="str">
        <x:v>撤回后发送</x:v>
      </x:c>
      <x:c r="B33" s="7" t="n">
        <x:f>'许可测试底稿'!B17</x:f>
        <x:v>3</x:v>
      </x:c>
      <x:c r="C33" s="7" t="str">
        <x:v>人为植入故障；另1条发送证据缺失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62" customHeight="1">
      <x:c r="A34" s="7" t="str">
        <x:v>故障规则T−B率差</x:v>
      </x:c>
      <x:c r="B34" s="25" t="n">
        <x:f>'首缴复算底稿'!D22</x:f>
        <x:v>0.019999999999999997</x:v>
      </x:c>
      <x:c r="C34" s="7" t="str">
        <x:v>计成功流水得到+2个百分点；逻辑修正范围为−1至0个百分点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62" customHeight="1">
      <x:c r="A35" s="7" t="str">
        <x:v>净申报高估（元）</x:v>
      </x:c>
      <x:c r="B35" s="26" t="n">
        <x:f>'成本复核底稿'!C21</x:f>
        <x:v>3750</x:v>
      </x:c>
      <x:c r="C35" s="7" t="str">
        <x:v>同时漏列1200元，不可只看净差额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62" customHeight="1">
      <x:c r="A36" s="7" t="str">
        <x:v>测试性质</x:v>
      </x:c>
      <x:c r="B36" s="7" t="str">
        <x:v>虚构缺陷演示</x:v>
      </x:c>
      <x:c r="C36" s="7" t="str">
        <x:v>可证明本底稿的复算逻辑，不证明生产控制有效或实际风险发生。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</x:sheetData>
  <x:conditionalFormatting sqref="B14:B14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40" hidden="0" customWidth="1"/>
    <x:col min="5" max="5" width="35" hidden="0" customWidth="1"/>
    <x:col min="6" max="6" width="62" hidden="0" customWidth="1"/>
    <x:col min="7" max="7" width="18" hidden="0" customWidth="1"/>
    <x:col min="8" max="8" width="30" hidden="0" customWidth="1"/>
    <x:col min="9" max="9" width="33" hidden="0" customWidth="1"/>
    <x:col min="10" max="10" width="63" hidden="0" customWidth="1"/>
    <x:col min="11" max="11" width="63" hidden="0" customWidth="1"/>
    <x:col min="12" max="12" width="42" hidden="0" customWidth="1"/>
    <x:col min="13" max="13" width="51" hidden="0" customWidth="1"/>
    <x:col min="14" max="14" width="56" hidden="0" customWidth="1"/>
    <x:col min="15" max="15" width="18" hidden="0" customWidth="1"/>
    <x:col min="16" max="16" width="20" hidden="0" customWidth="1"/>
    <x:col min="17" max="17" width="45" hidden="0" customWidth="1"/>
    <x:col min="18" max="18" width="18" hidden="0" customWidth="1"/>
    <x:col min="19" max="19" width="20" hidden="0" customWidth="1"/>
    <x:col min="20" max="20" width="40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8" customHeight="1">
      <x:c r="A2" s="2" t="str">
        <x:v>个人养老金服务风险控制矩阵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8" customHeight="1">
      <x:c r="A4" s="1" t="str">
        <x:v>控制与测试为独立案例建议。计划书自检是披露记录，本次未复跑；验证进度初始均未验证。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8" customHeight="1">
      <x:c r="A6" s="6" t="str">
        <x:v>风险ID</x:v>
      </x:c>
      <x:c r="B6" s="6" t="str">
        <x:v>流程</x:v>
      </x:c>
      <x:c r="C6" s="6" t="str">
        <x:v>风险事件</x:v>
      </x:c>
      <x:c r="D6" s="6" t="str">
        <x:v>潜在后果</x:v>
      </x:c>
      <x:c r="E6" s="6" t="str">
        <x:v>控制目标</x:v>
      </x:c>
      <x:c r="F6" s="6" t="str">
        <x:v>控制措施</x:v>
      </x:c>
      <x:c r="G6" s="6" t="str">
        <x:v>控制类型</x:v>
      </x:c>
      <x:c r="H6" s="6" t="str">
        <x:v>执行时点</x:v>
      </x:c>
      <x:c r="I6" s="6" t="str">
        <x:v>建议责任方</x:v>
      </x:c>
      <x:c r="J6" s="6" t="str">
        <x:v>建议测试程序</x:v>
      </x:c>
      <x:c r="K6" s="6" t="str">
        <x:v>通过标准</x:v>
      </x:c>
      <x:c r="L6" s="6" t="str">
        <x:v>已有证据与位置</x:v>
      </x:c>
      <x:c r="M6" s="6" t="str">
        <x:v>证据边界</x:v>
      </x:c>
      <x:c r="N6" s="6" t="str">
        <x:v>待补材料</x:v>
      </x:c>
      <x:c r="O6" s="6" t="str">
        <x:v>验证进度</x:v>
      </x:c>
      <x:c r="P6" s="6" t="str">
        <x:v>缺陷整改状态</x:v>
      </x:c>
      <x:c r="Q6" s="6" t="str">
        <x:v>复核证据位置</x:v>
      </x:c>
      <x:c r="R6" s="6" t="str">
        <x:v>跟进日期</x:v>
      </x:c>
      <x:c r="S6" s="6" t="str">
        <x:v>关闭复核</x:v>
      </x:c>
      <x:c r="T6" s="6" t="str">
        <x:v>记录提示</x:v>
      </x:c>
    </x:row>
    <x:row r="7" ht="64" customHeight="1">
      <x:c r="A7" s="8" t="str">
        <x:v>R01</x:v>
      </x:c>
      <x:c r="B7" s="8" t="str">
        <x:v>客群资格</x:v>
      </x:c>
      <x:c r="C7" s="8" t="str">
        <x:v>转入、历史已缴或状态未知者误入定向池</x:v>
      </x:c>
      <x:c r="D7" s="8" t="str">
        <x:v>客群识别错误，试点分母与客户服务不适配</x:v>
      </x:c>
      <x:c r="E7" s="8" t="str">
        <x:v>资格可核验，未知状态保守排除</x:v>
      </x:c>
      <x:c r="F7" s="8" t="str">
        <x:v>依次核对账户状态、原始开户、历史有效缴存与转户；不从本行无流水推断全国未缴</x:v>
      </x:c>
      <x:c r="G7" s="8" t="str">
        <x:v>预防</x:v>
      </x:c>
      <x:c r="H7" s="8" t="str">
        <x:v>入组前；资格变更后</x:v>
      </x:c>
      <x:c r="I7" s="8" t="str">
        <x:v>业务／数据</x:v>
      </x:c>
      <x:c r="J7" s="8" t="str">
        <x:v>用转入、注销、已缴、未知与满足条件记录走筛选，并与源字段核对</x:v>
      </x:c>
      <x:c r="K7" s="8" t="str">
        <x:v>不合格与未知记录不入定向池；排除原因可追溯</x:v>
      </x:c>
      <x:c r="L7" s="8" t="str">
        <x:v>T04；第7、33页</x:v>
      </x:c>
      <x:c r="M7" s="8" t="str">
        <x:v>虚构案例本地检查披露；未验证真实字段</x:v>
      </x:c>
      <x:c r="N7" s="8" t="str">
        <x:v>字段字典、映射、抽取样本及人工复核记录</x:v>
      </x:c>
      <x:c r="O7" s="10" t="str">
        <x:v>未验证</x:v>
      </x:c>
      <x:c r="P7" s="10" t="str">
        <x:v>未判定</x:v>
      </x:c>
      <x:c r="Q7" s="10"/>
      <x:c r="R7" s="11"/>
      <x:c r="S7" s="10" t="str">
        <x:v>未复核</x:v>
      </x:c>
      <x:c r="T7" s="8" t="str">
        <x:f>IF(S7="已关闭",IF(AND(O7="通过",OR(P7="未发现缺陷",P7="整改已复核"),Q7&lt;&gt;""),"关闭记录齐全","关闭依据不完整"),IF(OR(O7="不通过",P7="整改中"),"需整改",IF(O7&lt;&gt;"通过","需完成验证",IF(Q7="","缺少复核证据",IF(OR(P7="未发现缺陷",P7="整改已复核"),"待关闭复核","需确认整改状态")))))</x:f>
        <x:v>需完成验证</x:v>
      </x:c>
    </x:row>
    <x:row r="8" ht="64" customHeight="1">
      <x:c r="A8" s="9" t="str">
        <x:v>R02</x:v>
      </x:c>
      <x:c r="B8" s="9" t="str">
        <x:v>许可与发送</x:v>
      </x:c>
      <x:c r="C8" s="9" t="str">
        <x:v>撤回或拒绝后仍发送消息</x:v>
      </x:c>
      <x:c r="D8" s="9" t="str">
        <x:v>客户受打扰，许可与停止控制失效</x:v>
      </x:c>
      <x:c r="E8" s="9" t="str">
        <x:v>发送前许可有效，停止动作落实到执行端</x:v>
      </x:c>
      <x:c r="F8" s="9" t="str">
        <x:v>发送前核许可、拒绝及频控；撤回停止后续发送，保留随机臂</x:v>
      </x:c>
      <x:c r="G8" s="9" t="str">
        <x:v>预防＋发现</x:v>
      </x:c>
      <x:c r="H8" s="9" t="str">
        <x:v>发送前；撤回时；执行后</x:v>
      </x:c>
      <x:c r="I8" s="9" t="str">
        <x:v>渠道／业务／消保</x:v>
      </x:c>
      <x:c r="J8" s="9" t="str">
        <x:v>执行撤回前后发送；覆盖已排队任务、延迟回执与发送失败</x:v>
      </x:c>
      <x:c r="K8" s="9" t="str">
        <x:v>撤回后不得新增主动发送；结果与失败原因有回执；不删除原随机臂</x:v>
      </x:c>
      <x:c r="L8" s="9" t="str">
        <x:v>T03披露；新增E09模拟故障测试，见许可底稿</x:v>
      </x:c>
      <x:c r="M8" s="9" t="str">
        <x:v>原型检查未复跑；新增缺陷为人为植入，不代表原型或银行实际缺陷</x:v>
      </x:c>
      <x:c r="N8" s="9" t="str">
        <x:v>授权记录、队列日志、回执、撤回与投诉复核</x:v>
      </x:c>
      <x:c r="O8" s="10" t="str">
        <x:v>未验证</x:v>
      </x:c>
      <x:c r="P8" s="10" t="str">
        <x:v>未判定</x:v>
      </x:c>
      <x:c r="Q8" s="10"/>
      <x:c r="R8" s="11"/>
      <x:c r="S8" s="10" t="str">
        <x:v>未复核</x:v>
      </x:c>
      <x:c r="T8" s="8" t="str">
        <x:f>IF(S8="已关闭",IF(AND(O8="通过",OR(P8="未发现缺陷",P8="整改已复核"),Q8&lt;&gt;""),"关闭记录齐全","关闭依据不完整"),IF(OR(O8="不通过",P8="整改中"),"需整改",IF(O8&lt;&gt;"通过","需完成验证",IF(Q8="","缺少复核证据",IF(OR(P8="未发现缺陷",P8="整改已复核"),"待关闭复核","需确认整改状态")))))</x:f>
        <x:v>需完成验证</x:v>
      </x:c>
    </x:row>
    <x:row r="9" ht="64" customHeight="1">
      <x:c r="A9" s="8" t="str">
        <x:v>R03</x:v>
      </x:c>
      <x:c r="B9" s="8" t="str">
        <x:v>客户保护</x:v>
      </x:c>
      <x:c r="C9" s="8" t="str">
        <x:v>流动性不足仍通过降额继续促缴</x:v>
      </x:c>
      <x:c r="D9" s="8" t="str">
        <x:v>服务与必要支出冲突，保护规则被绕过</x:v>
      </x:c>
      <x:c r="E9" s="8" t="str">
        <x:v>暂缓优先于促缴，保留正常自主办理</x:v>
      </x:c>
      <x:c r="F9" s="8" t="str">
        <x:v>触发流动性暂缓后停止本项目促缴；不得用降额绕过；原账户入口保留</x:v>
      </x:c>
      <x:c r="G9" s="8" t="str">
        <x:v>预防</x:v>
      </x:c>
      <x:c r="H9" s="8" t="str">
        <x:v>路径选择与再次触达前</x:v>
      </x:c>
      <x:c r="I9" s="8" t="str">
        <x:v>业务／消保</x:v>
      </x:c>
      <x:c r="J9" s="8" t="str">
        <x:v>运行税额正但流动性不足案例，尝试继续、降额和再次联系</x:v>
      </x:c>
      <x:c r="K9" s="8" t="str">
        <x:v>本项目输出暂停，促缴不可执行；正常自主服务仍可使用</x:v>
      </x:c>
      <x:c r="L9" s="8" t="str">
        <x:v>T02；第33页</x:v>
      </x:c>
      <x:c r="M9" s="8" t="str">
        <x:v>固定虚构案例；无真实客户适配验证</x:v>
      </x:c>
      <x:c r="N9" s="8" t="str">
        <x:v>边界用例、执行日志、内容审查与异常复核</x:v>
      </x:c>
      <x:c r="O9" s="10" t="str">
        <x:v>未验证</x:v>
      </x:c>
      <x:c r="P9" s="10" t="str">
        <x:v>未判定</x:v>
      </x:c>
      <x:c r="Q9" s="10"/>
      <x:c r="R9" s="11"/>
      <x:c r="S9" s="10" t="str">
        <x:v>未复核</x:v>
      </x:c>
      <x:c r="T9" s="8" t="str">
        <x:f>IF(S9="已关闭",IF(AND(O9="通过",OR(P9="未发现缺陷",P9="整改已复核"),Q9&lt;&gt;""),"关闭记录齐全","关闭依据不完整"),IF(OR(O9="不通过",P9="整改中"),"需整改",IF(O9&lt;&gt;"通过","需完成验证",IF(Q9="","缺少复核证据",IF(OR(P9="未发现缺陷",P9="整改已复核"),"待关闭复核","需确认整改状态")))))</x:f>
        <x:v>需完成验证</x:v>
      </x:c>
    </x:row>
    <x:row r="10" ht="64" customHeight="1">
      <x:c r="A10" s="9" t="str">
        <x:v>R04</x:v>
      </x:c>
      <x:c r="B10" s="9" t="str">
        <x:v>说明与测算</x:v>
      </x:c>
      <x:c r="C10" s="9" t="str">
        <x:v>税额错误、过期政策或AI解释越界</x:v>
      </x:c>
      <x:c r="D10" s="9" t="str">
        <x:v>客户误解服务价值或据此作错误决定</x:v>
      </x:c>
      <x:c r="E10" s="9" t="str">
        <x:v>计算可复算，版本与说明可追溯</x:v>
      </x:c>
      <x:c r="F10" s="9" t="str">
        <x:v>规则计算并展示前提；资料版本管理；未知输入或冲突时暂停个性化结论并转人工</x:v>
      </x:c>
      <x:c r="G10" s="9" t="str">
        <x:v>预防＋发现</x:v>
      </x:c>
      <x:c r="H10" s="9" t="str">
        <x:v>测算时；内容或规则更新后</x:v>
      </x:c>
      <x:c r="I10" s="9" t="str">
        <x:v>业务规则／技术／合规</x:v>
      </x:c>
      <x:c r="J10" s="9" t="str">
        <x:v>检查跨档、边界、未知输入与过期版本；独立复算已固定算例</x:v>
      </x:c>
      <x:c r="K10" s="9" t="str">
        <x:v>结果符合核定算例；未知不输出确定税额；版本和前提可追溯</x:v>
      </x:c>
      <x:c r="L10" s="9" t="str">
        <x:v>T01、T05；第29、33页</x:v>
      </x:c>
      <x:c r="M10" s="9" t="str">
        <x:v>本地算例检查不代表税务或银行合规审核</x:v>
      </x:c>
      <x:c r="N10" s="9" t="str">
        <x:v>核定规则、来源版本、独立复算、内容审批记录</x:v>
      </x:c>
      <x:c r="O10" s="10" t="str">
        <x:v>未验证</x:v>
      </x:c>
      <x:c r="P10" s="10" t="str">
        <x:v>未判定</x:v>
      </x:c>
      <x:c r="Q10" s="10"/>
      <x:c r="R10" s="11"/>
      <x:c r="S10" s="10" t="str">
        <x:v>未复核</x:v>
      </x:c>
      <x:c r="T10" s="8" t="str">
        <x:f>IF(S10="已关闭",IF(AND(O10="通过",OR(P10="未发现缺陷",P10="整改已复核"),Q10&lt;&gt;""),"关闭记录齐全","关闭依据不完整"),IF(OR(O10="不通过",P10="整改中"),"需整改",IF(O10&lt;&gt;"通过","需完成验证",IF(Q10="","缺少复核证据",IF(OR(P10="未发现缺陷",P10="整改已复核"),"待关闭复核","需确认整改状态")))))</x:f>
        <x:v>需完成验证</x:v>
      </x:c>
    </x:row>
    <x:row r="11" ht="64" customHeight="1">
      <x:c r="A11" s="8" t="str">
        <x:v>R05</x:v>
      </x:c>
      <x:c r="B11" s="8" t="str">
        <x:v>最少信息</x:v>
      </x:c>
      <x:c r="C11" s="8" t="str">
        <x:v>查步骤或转人工被强制索取税务信息</x:v>
      </x:c>
      <x:c r="D11" s="8" t="str">
        <x:v>非必要信息收集，服务路径受阻</x:v>
      </x:c>
      <x:c r="E11" s="8" t="str">
        <x:v>按服务需求收集最少信息</x:v>
      </x:c>
      <x:c r="F11" s="8" t="str">
        <x:v>步骤路径无需税务输入；不确定时禁用数值并清空；人工路径不先生成税额</x:v>
      </x:c>
      <x:c r="G11" s="8" t="str">
        <x:v>预防</x:v>
      </x:c>
      <x:c r="H11" s="8" t="str">
        <x:v>输入与路径切换时</x:v>
      </x:c>
      <x:c r="I11" s="8" t="str">
        <x:v>产品／数据／隐私相关人员</x:v>
      </x:c>
      <x:c r="J11" s="8" t="str">
        <x:v>切换步骤、税额未知与人工路径，检查页面及请求字段</x:v>
      </x:c>
      <x:c r="K11" s="8" t="str">
        <x:v>非税额路径不强制税务字段；未知输入不生成税额</x:v>
      </x:c>
      <x:c r="L11" s="8" t="str">
        <x:v>T05；第33页</x:v>
      </x:c>
      <x:c r="M11" s="8" t="str">
        <x:v>前端原型行为；未检查真实接口、存储及访问</x:v>
      </x:c>
      <x:c r="N11" s="8" t="str">
        <x:v>接口字段、存储与访问规则、日志及删除验证</x:v>
      </x:c>
      <x:c r="O11" s="10" t="str">
        <x:v>未验证</x:v>
      </x:c>
      <x:c r="P11" s="10" t="str">
        <x:v>未判定</x:v>
      </x:c>
      <x:c r="Q11" s="10"/>
      <x:c r="R11" s="11"/>
      <x:c r="S11" s="10" t="str">
        <x:v>未复核</x:v>
      </x:c>
      <x:c r="T11" s="8" t="str">
        <x:f>IF(S11="已关闭",IF(AND(O11="通过",OR(P11="未发现缺陷",P11="整改已复核"),Q11&lt;&gt;""),"关闭记录齐全","关闭依据不完整"),IF(OR(O11="不通过",P11="整改中"),"需整改",IF(O11&lt;&gt;"通过","需完成验证",IF(Q11="","缺少复核证据",IF(OR(P11="未发现缺陷",P11="整改已复核"),"待关闭复核","需确认整改状态")))))</x:f>
        <x:v>需完成验证</x:v>
      </x:c>
    </x:row>
    <x:row r="12" ht="64" customHeight="1">
      <x:c r="A12" s="9" t="str">
        <x:v>R06</x:v>
      </x:c>
      <x:c r="B12" s="9" t="str">
        <x:v>人工接管</x:v>
      </x:c>
      <x:c r="C12" s="9" t="str">
        <x:v>转人工无工单或失败后仍给确定结论</x:v>
      </x:c>
      <x:c r="D12" s="9" t="str">
        <x:v>问题未被承接，客户误认为已获专业处理</x:v>
      </x:c>
      <x:c r="E12" s="9" t="str">
        <x:v>转接状态真实，异常有替代路径</x:v>
      </x:c>
      <x:c r="F12" s="9" t="str">
        <x:v>明确接管请求、成功／失败回执和服务边界；失败时停止个性化结论</x:v>
      </x:c>
      <x:c r="G12" s="9" t="str">
        <x:v>预防＋发现</x:v>
      </x:c>
      <x:c r="H12" s="9" t="str">
        <x:v>人工请求时；失败与超时后</x:v>
      </x:c>
      <x:c r="I12" s="9" t="str">
        <x:v>客户服务／产品／技术</x:v>
      </x:c>
      <x:c r="J12" s="9" t="str">
        <x:v>模拟成功、超时、重复请求和工单失败，核对可见状态与后台记录</x:v>
      </x:c>
      <x:c r="K12" s="9" t="str">
        <x:v>状态与实际工单一致；失败不显示成功，不继续确定性结论</x:v>
      </x:c>
      <x:c r="L12" s="9" t="str">
        <x:v>T05披露HUMAN_REQUEST；第33页</x:v>
      </x:c>
      <x:c r="M12" s="9" t="str">
        <x:v>请求标记不等于真实工单和接管已成功</x:v>
      </x:c>
      <x:c r="N12" s="9" t="str">
        <x:v>工单接口、服务流程、失败用例与处理记录</x:v>
      </x:c>
      <x:c r="O12" s="10" t="str">
        <x:v>未验证</x:v>
      </x:c>
      <x:c r="P12" s="10" t="str">
        <x:v>未判定</x:v>
      </x:c>
      <x:c r="Q12" s="10"/>
      <x:c r="R12" s="11"/>
      <x:c r="S12" s="10" t="str">
        <x:v>未复核</x:v>
      </x:c>
      <x:c r="T12" s="8" t="str">
        <x:f>IF(S12="已关闭",IF(AND(O12="通过",OR(P12="未发现缺陷",P12="整改已复核"),Q12&lt;&gt;""),"关闭记录齐全","关闭依据不完整"),IF(OR(O12="不通过",P12="整改中"),"需整改",IF(O12&lt;&gt;"通过","需完成验证",IF(Q12="","缺少复核证据",IF(OR(P12="未发现缺陷",P12="整改已复核"),"待关闭复核","需确认整改状态")))))</x:f>
        <x:v>需完成验证</x:v>
      </x:c>
    </x:row>
    <x:row r="13" ht="64" customHeight="1">
      <x:c r="A13" s="8" t="str">
        <x:v>R07</x:v>
      </x:c>
      <x:c r="B13" s="8" t="str">
        <x:v>结果认定</x:v>
      </x:c>
      <x:c r="C13" s="8" t="str">
        <x:v>点击、跳转或冲正交易被计为首缴</x:v>
      </x:c>
      <x:c r="D13" s="8" t="str">
        <x:v>效果被高估，投入判断失真</x:v>
      </x:c>
      <x:c r="E13" s="8" t="str">
        <x:v>有效首缴来自统一账务口径</x:v>
      </x:c>
      <x:c r="F13" s="8" t="str">
        <x:v>去重自然人；固定60天发生窗及第67天核验；冲正按事前规则处理</x:v>
      </x:c>
      <x:c r="G13" s="8" t="str">
        <x:v>发现</x:v>
      </x:c>
      <x:c r="H13" s="8" t="str">
        <x:v>账务抽取与结果冻结时</x:v>
      </x:c>
      <x:c r="I13" s="8" t="str">
        <x:v>数据／业务／评价负责人</x:v>
      </x:c>
      <x:c r="J13" s="8" t="str">
        <x:v>用跳转无交易、重复、日60／61及冲正样本核对结果</x:v>
      </x:c>
      <x:c r="K13" s="8" t="str">
        <x:v>跳转不算缴存；同一人一次；日61新缴不补入主结果；冲正规则一致</x:v>
      </x:c>
      <x:c r="L13" s="8" t="str">
        <x:v>T06披露；新增E10模拟账务复算</x:v>
      </x:c>
      <x:c r="M13" s="8" t="str">
        <x:v>只披露跳转分离本地检查；真实账务与边界抽取未验证</x:v>
      </x:c>
      <x:c r="N13" s="8" t="str">
        <x:v>账务字段、抽取脚本、边界样本、独立复算</x:v>
      </x:c>
      <x:c r="O13" s="10" t="str">
        <x:v>未验证</x:v>
      </x:c>
      <x:c r="P13" s="10" t="str">
        <x:v>未判定</x:v>
      </x:c>
      <x:c r="Q13" s="10"/>
      <x:c r="R13" s="11"/>
      <x:c r="S13" s="10" t="str">
        <x:v>未复核</x:v>
      </x:c>
      <x:c r="T13" s="8" t="str">
        <x:f>IF(S13="已关闭",IF(AND(O13="通过",OR(P13="未发现缺陷",P13="整改已复核"),Q13&lt;&gt;""),"关闭记录齐全","关闭依据不完整"),IF(OR(O13="不通过",P13="整改中"),"需整改",IF(O13&lt;&gt;"通过","需完成验证",IF(Q13="","缺少复核证据",IF(OR(P13="未发现缺陷",P13="整改已复核"),"待关闭复核","需确认整改状态")))))</x:f>
        <x:v>需完成验证</x:v>
      </x:c>
    </x:row>
    <x:row r="14" ht="64" customHeight="1">
      <x:c r="A14" s="9" t="str">
        <x:v>R08</x:v>
      </x:c>
      <x:c r="B14" s="9" t="str">
        <x:v>试点分流</x:v>
      </x:c>
      <x:c r="C14" s="9" t="str">
        <x:v>接触服务后再分组或改变分母</x:v>
      </x:c>
      <x:c r="D14" s="9" t="str">
        <x:v>选择偏差，自然转化被归为服务效果</x:v>
      </x:c>
      <x:c r="E14" s="9" t="str">
        <x:v>事前分流与原始分母保留</x:v>
      </x:c>
      <x:c r="F14" s="9" t="str">
        <x:v>差异服务前按自然人固定随机分组；保留随机臂；B−A与T−B分别评价</x:v>
      </x:c>
      <x:c r="G14" s="9" t="str">
        <x:v>预防＋发现</x:v>
      </x:c>
      <x:c r="H14" s="9" t="str">
        <x:v>入组时；执行与分析后</x:v>
      </x:c>
      <x:c r="I14" s="9" t="str">
        <x:v>试点／数据</x:v>
      </x:c>
      <x:c r="J14" s="9" t="str">
        <x:v>核对分流、曝光、发送时间顺序，查重复及跨组；复算原始分母</x:v>
      </x:c>
      <x:c r="K14" s="9" t="str">
        <x:v>分流先于差异服务；原始臂与分母可重建；拒绝不被移出原随机臂</x:v>
      </x:c>
      <x:c r="L14" s="9" t="str">
        <x:v>第23–27页试验设计</x:v>
      </x:c>
      <x:c r="M14" s="9" t="str">
        <x:v>设计证据；无真实试验与独立验证</x:v>
      </x:c>
      <x:c r="N14" s="9" t="str">
        <x:v>事前方案、分流日志、执行时间戳、复算记录</x:v>
      </x:c>
      <x:c r="O14" s="10" t="str">
        <x:v>未验证</x:v>
      </x:c>
      <x:c r="P14" s="10" t="str">
        <x:v>未判定</x:v>
      </x:c>
      <x:c r="Q14" s="10"/>
      <x:c r="R14" s="11"/>
      <x:c r="S14" s="10" t="str">
        <x:v>未复核</x:v>
      </x:c>
      <x:c r="T14" s="8" t="str">
        <x:f>IF(S14="已关闭",IF(AND(O14="通过",OR(P14="未发现缺陷",P14="整改已复核"),Q14&lt;&gt;""),"关闭记录齐全","关闭依据不完整"),IF(OR(O14="不通过",P14="整改中"),"需整改",IF(O14&lt;&gt;"通过","需完成验证",IF(Q14="","缺少复核证据",IF(OR(P14="未发现缺陷",P14="整改已复核"),"待关闭复核","需确认整改状态")))))</x:f>
        <x:v>需完成验证</x:v>
      </x:c>
    </x:row>
    <x:row r="15" ht="64" customHeight="1">
      <x:c r="A15" s="8" t="str">
        <x:v>R09</x:v>
      </x:c>
      <x:c r="B15" s="8" t="str">
        <x:v>缺失与结果成熟</x:v>
      </x:c>
      <x:c r="C15" s="8" t="str">
        <x:v>未成熟或缺失结果被直接记未缴存</x:v>
      </x:c>
      <x:c r="D15" s="8" t="str">
        <x:v>效果及不确定性被误判</x:v>
      </x:c>
      <x:c r="E15" s="8" t="str">
        <x:v>成熟、缺失与真实零结果分开</x:v>
      </x:c>
      <x:c r="F15" s="8" t="str">
        <x:v>固定观察窗；保留缺失清单，按事前口径分析，不以点击补主结果</x:v>
      </x:c>
      <x:c r="G15" s="8" t="str">
        <x:v>发现</x:v>
      </x:c>
      <x:c r="H15" s="8" t="str">
        <x:v>结果冻结及分析时</x:v>
      </x:c>
      <x:c r="I15" s="8" t="str">
        <x:v>数据／评价负责人</x:v>
      </x:c>
      <x:c r="J15" s="8" t="str">
        <x:v>构造结果延迟、账务缺失与未成熟样本，检查分类及报告</x:v>
      </x:c>
      <x:c r="K15" s="8" t="str">
        <x:v>缺失不悄然转零；成熟规则可复算；处理方法披露</x:v>
      </x:c>
      <x:c r="L15" s="8" t="str">
        <x:v>第23–27页设计</x:v>
      </x:c>
      <x:c r="M15" s="8" t="str">
        <x:v>未取得真实账务反馈与缺失分布</x:v>
      </x:c>
      <x:c r="N15" s="8" t="str">
        <x:v>成熟规则、缺失清单、处理说明与复算</x:v>
      </x:c>
      <x:c r="O15" s="10" t="str">
        <x:v>未验证</x:v>
      </x:c>
      <x:c r="P15" s="10" t="str">
        <x:v>未判定</x:v>
      </x:c>
      <x:c r="Q15" s="10"/>
      <x:c r="R15" s="11"/>
      <x:c r="S15" s="10" t="str">
        <x:v>未复核</x:v>
      </x:c>
      <x:c r="T15" s="8" t="str">
        <x:f>IF(S15="已关闭",IF(AND(O15="通过",OR(P15="未发现缺陷",P15="整改已复核"),Q15&lt;&gt;""),"关闭记录齐全","关闭依据不完整"),IF(OR(O15="不通过",P15="整改中"),"需整改",IF(O15&lt;&gt;"通过","需完成验证",IF(Q15="","缺少复核证据",IF(OR(P15="未发现缺陷",P15="整改已复核"),"待关闭复核","需确认整改状态")))))</x:f>
        <x:v>需完成验证</x:v>
      </x:c>
    </x:row>
    <x:row r="16" ht="64" customHeight="1">
      <x:c r="A16" s="9" t="str">
        <x:v>R10</x:v>
      </x:c>
      <x:c r="B16" s="9" t="str">
        <x:v>成本与贡献</x:v>
      </x:c>
      <x:c r="C16" s="9" t="str">
        <x:v>缴存额当收入，重复计值或漏计费用</x:v>
      </x:c>
      <x:c r="D16" s="9" t="str">
        <x:v>ROI虚高，错误申请投入</x:v>
      </x:c>
      <x:c r="E16" s="9" t="str">
        <x:v>贡献与成本配对且口径可追溯</x:v>
      </x:c>
      <x:c r="F16" s="9" t="str">
        <x:v>资金、配置、节约与替代损失去重；建设、渠道、人工、运维和处置分项；明确评价期</x:v>
      </x:c>
      <x:c r="G16" s="9" t="str">
        <x:v>发现</x:v>
      </x:c>
      <x:c r="H16" s="9" t="str">
        <x:v>预算编制；结果与投入评审前</x:v>
      </x:c>
      <x:c r="I16" s="9" t="str">
        <x:v>业务／经营测算／技术</x:v>
      </x:c>
      <x:c r="J16" s="9" t="str">
        <x:v>追溯费用和贡献来源；复算情景，查分摊、期限、重复及遗漏</x:v>
      </x:c>
      <x:c r="K16" s="9" t="str">
        <x:v>金额可追溯；缺数据保留待核；无重复计值；期限一致</x:v>
      </x:c>
      <x:c r="L16" s="9" t="str">
        <x:v>原成本设计及T08披露；新增E11模拟费用复核</x:v>
      </x:c>
      <x:c r="M16" s="9" t="str">
        <x:v>模拟框架与固定检查；新增拆分为教学假设</x:v>
      </x:c>
      <x:c r="N16" s="9" t="str">
        <x:v>内部净贡献口径、费用依据、工时、分摊与独立复核</x:v>
      </x:c>
      <x:c r="O16" s="10" t="str">
        <x:v>未验证</x:v>
      </x:c>
      <x:c r="P16" s="10" t="str">
        <x:v>未判定</x:v>
      </x:c>
      <x:c r="Q16" s="10"/>
      <x:c r="R16" s="11"/>
      <x:c r="S16" s="10" t="str">
        <x:v>未复核</x:v>
      </x:c>
      <x:c r="T16" s="8" t="str">
        <x:f>IF(S16="已关闭",IF(AND(O16="通过",OR(P16="未发现缺陷",P16="整改已复核"),Q16&lt;&gt;""),"关闭记录齐全","关闭依据不完整"),IF(OR(O16="不通过",P16="整改中"),"需整改",IF(O16&lt;&gt;"通过","需完成验证",IF(Q16="","缺少复核证据",IF(OR(P16="未发现缺陷",P16="整改已复核"),"待关闭复核","需确认整改状态")))))</x:f>
        <x:v>需完成验证</x:v>
      </x:c>
    </x:row>
    <x:row r="17" ht="64" customHeight="1">
      <x:c r="A17" s="8" t="str">
        <x:v>R11</x:v>
      </x:c>
      <x:c r="B17" s="8" t="str">
        <x:v>投入与停止</x:v>
      </x:c>
      <x:c r="C17" s="8" t="str">
        <x:v>区间跨零或保护问题仍扩大策略</x:v>
      </x:c>
      <x:c r="D17" s="8" t="str">
        <x:v>资源浪费，风险随规模扩大</x:v>
      </x:c>
      <x:c r="E17" s="8" t="str">
        <x:v>证据与保护满足前不扩大</x:v>
      </x:c>
      <x:c r="F17" s="8" t="str">
        <x:v>分别检查效果、成本与保护；保护异常暂停相关策略；保留简单服务与回退</x:v>
      </x:c>
      <x:c r="G17" s="8" t="str">
        <x:v>预防＋发现</x:v>
      </x:c>
      <x:c r="H17" s="8" t="str">
        <x:v>试点评审；异常发生后</x:v>
      </x:c>
      <x:c r="I17" s="8" t="str">
        <x:v>业务负责人／风险合规／消保</x:v>
      </x:c>
      <x:c r="J17" s="8" t="str">
        <x:v>模拟效果不足、净值为负及保护问题；检查扩大入口与停止执行</x:v>
      </x:c>
      <x:c r="K17" s="8" t="str">
        <x:v>默认不足情景不扩大；保护问题触发暂停；正式阈值事前批准</x:v>
      </x:c>
      <x:c r="L17" s="8" t="str">
        <x:v>T08；第30、33页</x:v>
      </x:c>
      <x:c r="M17" s="8" t="str">
        <x:v>固定原型检查不代表正式停止策略执行</x:v>
      </x:c>
      <x:c r="N17" s="8" t="str">
        <x:v>评审条件、审批记录、执行与恢复演练</x:v>
      </x:c>
      <x:c r="O17" s="10" t="str">
        <x:v>未验证</x:v>
      </x:c>
      <x:c r="P17" s="10" t="str">
        <x:v>未判定</x:v>
      </x:c>
      <x:c r="Q17" s="10"/>
      <x:c r="R17" s="11"/>
      <x:c r="S17" s="10" t="str">
        <x:v>未复核</x:v>
      </x:c>
      <x:c r="T17" s="8" t="str">
        <x:f>IF(S17="已关闭",IF(AND(O17="通过",OR(P17="未发现缺陷",P17="整改已复核"),Q17&lt;&gt;""),"关闭记录齐全","关闭依据不完整"),IF(OR(O17="不通过",P17="整改中"),"需整改",IF(O17&lt;&gt;"通过","需完成验证",IF(Q17="","缺少复核证据",IF(OR(P17="未发现缺陷",P17="整改已复核"),"待关闭复核","需确认整改状态")))))</x:f>
        <x:v>需完成验证</x:v>
      </x:c>
    </x:row>
    <x:row r="18" ht="64" customHeight="1">
      <x:c r="A18" s="9" t="str">
        <x:v>R12</x:v>
      </x:c>
      <x:c r="B18" s="9" t="str">
        <x:v>版本与AI范围</x:v>
      </x:c>
      <x:c r="C18" s="9" t="str">
        <x:v>规则、模型或文案未经核验变化</x:v>
      </x:c>
      <x:c r="D18" s="9" t="str">
        <x:v>结果不可复现或拟议能力被误称已实现</x:v>
      </x:c>
      <x:c r="E18" s="9" t="str">
        <x:v>版本受控，能力与证据对应</x:v>
      </x:c>
      <x:c r="F18" s="9" t="str">
        <x:v>规则／内容变更留痕并复核；固定规则、拟议AI与后续动态策略分别管理</x:v>
      </x:c>
      <x:c r="G18" s="9" t="str">
        <x:v>预防＋发现</x:v>
      </x:c>
      <x:c r="H18" s="9" t="str">
        <x:v>变更前后；材料对外发布前</x:v>
      </x:c>
      <x:c r="I18" s="9" t="str">
        <x:v>产品／技术／内容审批</x:v>
      </x:c>
      <x:c r="J18" s="9" t="str">
        <x:v>核对版本、变更、历史结果和回退；检查AI输出是否沿批准边界</x:v>
      </x:c>
      <x:c r="K18" s="9" t="str">
        <x:v>版本与证据一致；变更可追溯；未实现能力不作上线宣称</x:v>
      </x:c>
      <x:c r="L18" s="9" t="str">
        <x:v>第29、32–34页</x:v>
      </x:c>
      <x:c r="M18" s="9" t="str">
        <x:v>有文档版本与自检记录；真实发布审批及AI生产控制未验证</x:v>
      </x:c>
      <x:c r="N18" s="9" t="str">
        <x:v>变更审批、版本清单、回归与回退记录</x:v>
      </x:c>
      <x:c r="O18" s="10" t="str">
        <x:v>未验证</x:v>
      </x:c>
      <x:c r="P18" s="10" t="str">
        <x:v>未判定</x:v>
      </x:c>
      <x:c r="Q18" s="10"/>
      <x:c r="R18" s="11"/>
      <x:c r="S18" s="10" t="str">
        <x:v>未复核</x:v>
      </x:c>
      <x:c r="T18" s="8" t="str">
        <x:f>IF(S18="已关闭",IF(AND(O18="通过",OR(P18="未发现缺陷",P18="整改已复核"),Q18&lt;&gt;""),"关闭记录齐全","关闭依据不完整"),IF(OR(O18="不通过",P18="整改中"),"需整改",IF(O18&lt;&gt;"通过","需完成验证",IF(Q18="","缺少复核证据",IF(OR(P18="未发现缺陷",P18="整改已复核"),"待关闭复核","需确认整改状态")))))</x:f>
        <x:v>需完成验证</x:v>
      </x:c>
    </x:row>
    <x:row r="19" ht="64" customHeight="1">
      <x:c r="A19" s="8" t="str">
        <x:v>R13</x:v>
      </x:c>
      <x:c r="B19" s="8" t="str">
        <x:v>事件与访问</x:v>
      </x:c>
      <x:c r="C19" s="8" t="str">
        <x:v>数据缺失、权限过宽或日志无法追踪</x:v>
      </x:c>
      <x:c r="D19" s="8" t="str">
        <x:v>分析失真，无法定位问题或访问行为</x:v>
      </x:c>
      <x:c r="E19" s="8" t="str">
        <x:v>字段可靠、权限与记录可验证</x:v>
      </x:c>
      <x:c r="F19" s="8" t="str">
        <x:v>事件字段字典、最小访问权限、记录与变更追踪；核关键字段完整性</x:v>
      </x:c>
      <x:c r="G19" s="8" t="str">
        <x:v>预防＋发现</x:v>
      </x:c>
      <x:c r="H19" s="8" t="str">
        <x:v>接口接入前；权限变更；抽取后</x:v>
      </x:c>
      <x:c r="I19" s="8" t="str">
        <x:v>数据／技术／相关审核人员</x:v>
      </x:c>
      <x:c r="J19" s="8" t="str">
        <x:v>以角色测试访问；核字段缺失、重复与时间戳；重建服务链</x:v>
      </x:c>
      <x:c r="K19" s="8" t="str">
        <x:v>角色访问与核定范围一致；关键字段和失败有记录，可追踪</x:v>
      </x:c>
      <x:c r="L19" s="8" t="str">
        <x:v>第18–26、32页事件与交付设计</x:v>
      </x:c>
      <x:c r="M19" s="8" t="str">
        <x:v>事件设计与模拟记录；权限及真实接口为新增待验证测试</x:v>
      </x:c>
      <x:c r="N19" s="8" t="str">
        <x:v>字段字典、权限清单、接口与审计日志、抽样记录</x:v>
      </x:c>
      <x:c r="O19" s="10" t="str">
        <x:v>未验证</x:v>
      </x:c>
      <x:c r="P19" s="10" t="str">
        <x:v>未判定</x:v>
      </x:c>
      <x:c r="Q19" s="10"/>
      <x:c r="R19" s="11"/>
      <x:c r="S19" s="10" t="str">
        <x:v>未复核</x:v>
      </x:c>
      <x:c r="T19" s="8" t="str">
        <x:f>IF(S19="已关闭",IF(AND(O19="通过",OR(P19="未发现缺陷",P19="整改已复核"),Q19&lt;&gt;""),"关闭记录齐全","关闭依据不完整"),IF(OR(O19="不通过",P19="整改中"),"需整改",IF(O19&lt;&gt;"通过","需完成验证",IF(Q19="","缺少复核证据",IF(OR(P19="未发现缺陷",P19="整改已复核"),"待关闭复核","需确认整改状态")))))</x:f>
        <x:v>需完成验证</x:v>
      </x:c>
    </x:row>
    <x:row r="20" ht="64" customHeight="1">
      <x:c r="A20" s="9" t="str">
        <x:v>R14</x:v>
      </x:c>
      <x:c r="B20" s="9" t="str">
        <x:v>保护事件处理</x:v>
      </x:c>
      <x:c r="C20" s="9" t="str">
        <x:v>投诉延迟、漏报或以零投诉证明安全</x:v>
      </x:c>
      <x:c r="D20" s="9" t="str">
        <x:v>风险未及时处置，保护结论失真</x:v>
      </x:c>
      <x:c r="E20" s="9" t="str">
        <x:v>事件被记录、复核、处置并反馈控制</x:v>
      </x:c>
      <x:c r="F20" s="9" t="str">
        <x:v>统一口径记录投诉与其他保护事件；逐件复核严重事件，待确认单列，不能只看零投诉</x:v>
      </x:c>
      <x:c r="G20" s="9" t="str">
        <x:v>发现＋纠正</x:v>
      </x:c>
      <x:c r="H20" s="9" t="str">
        <x:v>事件发生后；评价与复盘时</x:v>
      </x:c>
      <x:c r="I20" s="9" t="str">
        <x:v>消保／客户服务／业务</x:v>
      </x:c>
      <x:c r="J20" s="9" t="str">
        <x:v>模拟收到投诉、关联待定与严重事件，核工单、处置和评价报告</x:v>
      </x:c>
      <x:c r="K20" s="9" t="str">
        <x:v>事件不漏报；待确认单列并处理；问题可追溯至整改</x:v>
      </x:c>
      <x:c r="L20" s="9" t="str">
        <x:v>第24、29页保护设计</x:v>
      </x:c>
      <x:c r="M20" s="9" t="str">
        <x:v>设计证据；无真实事件处置验证</x:v>
      </x:c>
      <x:c r="N20" s="9" t="str">
        <x:v>事件登记、关联复核、处置、整改与复核记录</x:v>
      </x:c>
      <x:c r="O20" s="10" t="str">
        <x:v>未验证</x:v>
      </x:c>
      <x:c r="P20" s="10" t="str">
        <x:v>未判定</x:v>
      </x:c>
      <x:c r="Q20" s="10"/>
      <x:c r="R20" s="11"/>
      <x:c r="S20" s="10" t="str">
        <x:v>未复核</x:v>
      </x:c>
      <x:c r="T20" s="8" t="str">
        <x:f>IF(S20="已关闭",IF(AND(O20="通过",OR(P20="未发现缺陷",P20="整改已复核"),Q20&lt;&gt;""),"关闭记录齐全","关闭依据不完整"),IF(OR(O20="不通过",P20="整改中"),"需整改",IF(O20&lt;&gt;"通过","需完成验证",IF(Q20="","缺少复核证据",IF(OR(P20="未发现缺陷",P20="整改已复核"),"待关闭复核","需确认整改状态")))))</x:f>
        <x:v>需完成验证</x:v>
      </x:c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</x:sheetData>
  <x:conditionalFormatting sqref="T7:T20">
    <x:cfRule type="containsText" dxfId="0" priority="1" operator="containsText" text="关闭依据不完整"/>
    <x:cfRule type="containsText" dxfId="1" priority="2" operator="containsText" text="需整改"/>
  </x:conditionalFormatting>
  <x:dataValidations count="3">
    <x:dataValidation type="list" sqref="O7:O20">
      <x:formula1>"未验证,验证中,通过,不通过"</x:formula1>
    </x:dataValidation>
    <x:dataValidation type="list" sqref="P7:P20">
      <x:formula1>"未判定,未发现缺陷,整改中,整改待复核,整改已复核"</x:formula1>
    </x:dataValidation>
    <x:dataValidation type="list" sqref="S7:S20">
      <x:formula1>"未复核,复核中,已关闭"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fe32b564d44e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5" hidden="0" customWidth="1"/>
    <x:col min="4" max="4" width="27" hidden="0" customWidth="1"/>
    <x:col min="5" max="5" width="52" hidden="0" customWidth="1"/>
    <x:col min="6" max="6" width="62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8" customHeight="1">
      <x:c r="A2" s="2" t="str">
        <x:v>证据索引与适用边界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8" customHeight="1">
      <x:c r="A4" s="1" t="str">
        <x:v>来源：工银智养仓参赛项目计划书，2026.10，39页；本次基于披露材料整理，未重新执行开发检查。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8" customHeight="1">
      <x:c r="A6" s="6" t="str">
        <x:v>证据ID</x:v>
      </x:c>
      <x:c r="B6" s="6" t="str">
        <x:v>材料</x:v>
      </x:c>
      <x:c r="C6" s="6" t="str">
        <x:v>位置／版本</x:v>
      </x:c>
      <x:c r="D6" s="6" t="str">
        <x:v>覆盖控制</x:v>
      </x:c>
      <x:c r="E6" s="6" t="str">
        <x:v>可支持的判断</x:v>
      </x:c>
      <x:c r="F6" s="6" t="str">
        <x:v>仍不能证明什么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8" customHeight="1">
      <x:c r="A7" s="7" t="str">
        <x:v>E01</x:v>
      </x:c>
      <x:c r="B7" s="7" t="str">
        <x:v>资格与两轮调研</x:v>
      </x:c>
      <x:c r="C7" s="7" t="str">
        <x:v>第7–8、38页</x:v>
      </x:c>
      <x:c r="D7" s="7" t="str">
        <x:v>R01</x:v>
      </x:c>
      <x:c r="E7" s="7" t="str">
        <x:v>资格口径与用户研究设计</x:v>
      </x:c>
      <x:c r="F7" s="7" t="str">
        <x:v>不能估计真实未缴率或核验客户账务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8" customHeight="1">
      <x:c r="A8" s="7" t="str">
        <x:v>E02</x:v>
      </x:c>
      <x:c r="B8" s="7" t="str">
        <x:v>六屏Alpha原型</x:v>
      </x:c>
      <x:c r="C8" s="7" t="str">
        <x:v>第16页；Alpha v3.4</x:v>
      </x:c>
      <x:c r="D8" s="7" t="str">
        <x:v>R01–R06</x:v>
      </x:c>
      <x:c r="E8" s="7" t="str">
        <x:v>服务路径与分支展示</x:v>
      </x:c>
      <x:c r="F8" s="7" t="str">
        <x:v>真实接口与服务效果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8" customHeight="1">
      <x:c r="A9" s="7" t="str">
        <x:v>E03</x:v>
      </x:c>
      <x:c r="B9" s="7" t="str">
        <x:v>事件与试点设计</x:v>
      </x:c>
      <x:c r="C9" s="7" t="str">
        <x:v>第18–27页</x:v>
      </x:c>
      <x:c r="D9" s="7" t="str">
        <x:v>R07–R09、R13</x:v>
      </x:c>
      <x:c r="E9" s="7" t="str">
        <x:v>分流、事件与结果口径设计</x:v>
      </x:c>
      <x:c r="F9" s="7" t="str">
        <x:v>真实随机分流、成熟结果与缺失处理有效性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8" customHeight="1">
      <x:c r="A10" s="7" t="str">
        <x:v>E04</x:v>
      </x:c>
      <x:c r="B10" s="7" t="str">
        <x:v>内容管理与客户保护</x:v>
      </x:c>
      <x:c r="C10" s="7" t="str">
        <x:v>第24、29页</x:v>
      </x:c>
      <x:c r="D10" s="7" t="str">
        <x:v>R02–R05、R12、R14</x:v>
      </x:c>
      <x:c r="E10" s="7" t="str">
        <x:v>控制与保护的设计思路</x:v>
      </x:c>
      <x:c r="F10" s="7" t="str">
        <x:v>银行审批、生产执行、事件处置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58" customHeight="1">
      <x:c r="A11" s="7" t="str">
        <x:v>E05</x:v>
      </x:c>
      <x:c r="B11" s="7" t="str">
        <x:v>成本与投入框架</x:v>
      </x:c>
      <x:c r="C11" s="7" t="str">
        <x:v>第29–30页</x:v>
      </x:c>
      <x:c r="D11" s="7" t="str">
        <x:v>R10–R11</x:v>
      </x:c>
      <x:c r="E11" s="7" t="str">
        <x:v>模拟测算、决策条件</x:v>
      </x:c>
      <x:c r="F11" s="7" t="str">
        <x:v>真实贡献、预算、效果及ROI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58" customHeight="1">
      <x:c r="A12" s="7" t="str">
        <x:v>E06</x:v>
      </x:c>
      <x:c r="B12" s="7" t="str">
        <x:v>开发自检披露</x:v>
      </x:c>
      <x:c r="C12" s="7" t="str">
        <x:v>第33–34页；T01–T08；2026.10.07</x:v>
      </x:c>
      <x:c r="D12" s="7" t="str">
        <x:v>R01–R07、R10–R12</x:v>
      </x:c>
      <x:c r="E12" s="7" t="str">
        <x:v>计划书记录固定虚构案例检查</x:v>
      </x:c>
      <x:c r="F12" s="7" t="str">
        <x:v>本次复跑结果、独立验收、真实客户效果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58" customHeight="1">
      <x:c r="A13" s="7" t="str">
        <x:v>E07</x:v>
      </x:c>
      <x:c r="B13" s="7" t="str">
        <x:v>深化商业测算</x:v>
      </x:c>
      <x:c r="C13" s="7" t="str">
        <x:v>商业测算工作簿；原方案／拆分示例</x:v>
      </x:c>
      <x:c r="D13" s="7" t="str">
        <x:v>R10</x:v>
      </x:c>
      <x:c r="E13" s="7" t="str">
        <x:v>公式与假设分项、缺数和期限匹配</x:v>
      </x:c>
      <x:c r="F13" s="7" t="str">
        <x:v>拆分值不是实际报价，也不验证真实贡献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58" customHeight="1">
      <x:c r="A14" s="7" t="str">
        <x:v>E08</x:v>
      </x:c>
      <x:c r="B14" s="7" t="str">
        <x:v>本矩阵新增测试建议</x:v>
      </x:c>
      <x:c r="C14" s="7" t="str">
        <x:v>风险矩阵J、K列</x:v>
      </x:c>
      <x:c r="D14" s="7" t="str">
        <x:v>全部控制</x:v>
      </x:c>
      <x:c r="E14" s="7" t="str">
        <x:v>说明建议如何检验控制</x:v>
      </x:c>
      <x:c r="F14" s="7" t="str">
        <x:v>测试尚未执行；通过标准不等于银行正式批准标准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70" customHeight="1">
      <x:c r="A15" s="7" t="str">
        <x:v>E09</x:v>
      </x:c>
      <x:c r="B15" s="7" t="str">
        <x:v>许可故障模拟底稿</x:v>
      </x:c>
      <x:c r="C15" s="7" t="str">
        <x:v>本工作簿许可测试底稿</x:v>
      </x:c>
      <x:c r="D15" s="7" t="str">
        <x:v>R02</x:v>
      </x:c>
      <x:c r="E15" s="7" t="str">
        <x:v>本次执行故障与复算规则，发现演示缺陷</x:v>
      </x:c>
      <x:c r="F15" s="7" t="str">
        <x:v>不是已有Alpha或银行实际缺陷，也不是整改回归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70" customHeight="1">
      <x:c r="A16" s="7" t="str">
        <x:v>E10</x:v>
      </x:c>
      <x:c r="B16" s="7" t="str">
        <x:v>首缴与缺失模拟复算</x:v>
      </x:c>
      <x:c r="C16" s="7" t="str">
        <x:v>本工作簿首缴复算底稿</x:v>
      </x:c>
      <x:c r="D16" s="7" t="str">
        <x:v>R07–R09</x:v>
      </x:c>
      <x:c r="E16" s="7" t="str">
        <x:v>本次复算预期边界、去重与缺失逻辑</x:v>
      </x:c>
      <x:c r="F16" s="7" t="str">
        <x:v>不代表真实增量或统计置信区间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70" customHeight="1">
      <x:c r="A17" s="7" t="str">
        <x:v>E11</x:v>
      </x:c>
      <x:c r="B17" s="7" t="str">
        <x:v>费用模拟复核</x:v>
      </x:c>
      <x:c r="C17" s="7" t="str">
        <x:v>本工作簿成本复核底稿</x:v>
      </x:c>
      <x:c r="D17" s="7" t="str">
        <x:v>R10</x:v>
      </x:c>
      <x:c r="E17" s="7" t="str">
        <x:v>复核虚构费用的重复、范围与遗漏</x:v>
      </x:c>
      <x:c r="F17" s="7" t="str">
        <x:v>支持金额是人为设定，不是实际凭据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54" hidden="0" customWidth="1"/>
    <x:col min="4" max="4" width="52" hidden="0" customWidth="1"/>
    <x:col min="5" max="5" width="59" hidden="0" customWidth="1"/>
    <x:col min="6" max="6" width="65" hidden="0" customWidth="1"/>
    <x:col min="7" max="7" width="57" hidden="0" customWidth="1"/>
    <x:col min="8" max="8" width="40" hidden="0" customWidth="1"/>
  </x:cols>
  <x:sheetData>
    <x:row r="1" ht="30" customHeight="1">
      <x:c r="A1" s="13"/>
      <x:c r="B1" s="13"/>
      <x:c r="C1" s="13"/>
      <x:c r="D1" s="13"/>
      <x:c r="E1" s="13"/>
      <x:c r="F1" s="13"/>
      <x:c r="G1" s="13"/>
      <x:c r="H1" s="13"/>
    </x:row>
    <x:row r="2" ht="30" customHeight="1">
      <x:c r="A2" s="14" t="str">
        <x:v>模拟测试发现与整改建议</x:v>
      </x:c>
      <x:c r="B2" s="13"/>
      <x:c r="C2" s="13"/>
      <x:c r="D2" s="13"/>
      <x:c r="E2" s="13"/>
      <x:c r="F2" s="13"/>
      <x:c r="G2" s="13"/>
      <x:c r="H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</x:row>
    <x:row r="4" ht="30" customHeight="1">
      <x:c r="A4" s="13" t="str">
        <x:v>本页发现来自人为植入缺陷的虚构数据及故障规则复算，不是原型漏洞发现或银行实际审计。</x:v>
      </x:c>
      <x:c r="B4" s="13"/>
      <x:c r="C4" s="13"/>
      <x:c r="D4" s="13"/>
      <x:c r="E4" s="13"/>
      <x:c r="F4" s="13"/>
      <x:c r="G4" s="13"/>
      <x:c r="H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</x:row>
    <x:row r="6" ht="38" customHeight="1">
      <x:c r="A6" s="6" t="str">
        <x:v>发现ID</x:v>
      </x:c>
      <x:c r="B6" s="6" t="str">
        <x:v>控制</x:v>
      </x:c>
      <x:c r="C6" s="6" t="str">
        <x:v>发现及证据</x:v>
      </x:c>
      <x:c r="D6" s="6" t="str">
        <x:v>影响分析</x:v>
      </x:c>
      <x:c r="E6" s="6" t="str">
        <x:v>演示原因／真实待核</x:v>
      </x:c>
      <x:c r="F6" s="6" t="str">
        <x:v>整改建议</x:v>
      </x:c>
      <x:c r="G6" s="6" t="str">
        <x:v>回归验证与关闭条件</x:v>
      </x:c>
      <x:c r="H6" s="6" t="str">
        <x:v>证据位置</x:v>
      </x:c>
    </x:row>
    <x:row r="7" ht="145" customHeight="1">
      <x:c r="A7" s="8" t="str">
        <x:v>F01</x:v>
      </x:c>
      <x:c r="B7" s="8" t="str">
        <x:v>R02 许可与发送</x:v>
      </x:c>
      <x:c r="C7" s="8" t="str">
        <x:v>3条已发送记录在撤回时点或之后执行；另1条缺发送时点</x:v>
      </x:c>
      <x:c r="D7" s="8" t="str">
        <x:v>许可保护失效；已发送影响需逐条处置，不能用转化收益抵消</x:v>
      </x:c>
      <x:c r="E7" s="8" t="str">
        <x:v>故障规则仅在排队时检查许可；真实需查队列、取消与重试设计</x:v>
      </x:c>
      <x:c r="F7" s="8" t="str">
        <x:v>执行前复核许可；撤回使排队任务失效；形成取消与发送回执</x:v>
      </x:c>
      <x:c r="G7" s="8" t="str">
        <x:v>覆盖排队后撤回、同刻、延迟和重试；缺日志先补证据；再执行完整回归</x:v>
      </x:c>
      <x:c r="H7" s="8" t="str">
        <x:v>许可底稿S01、S07、S08；S06待核</x:v>
      </x:c>
    </x:row>
    <x:row r="8" ht="145" customHeight="1">
      <x:c r="A8" s="8" t="str">
        <x:v>F02</x:v>
      </x:c>
      <x:c r="B8" s="8" t="str">
        <x:v>R07–R09 结果评价</x:v>
      </x:c>
      <x:c r="C8" s="8" t="str">
        <x:v>成功流水计数得到B=4、T=6；复算已确认B=3、T=2，T有1人待核</x:v>
      </x:c>
      <x:c r="D8" s="8" t="str">
        <x:v>故障规则率差为+2个百分点；复算逻辑范围为−1至0个百分点，不能据此确认正增量</x:v>
      </x:c>
      <x:c r="E8" s="8" t="str">
        <x:v>演示计流水条数，未扣重复、冲正、窗外；真实需追踪账务抽取与事件映射</x:v>
      </x:c>
      <x:c r="F8" s="8" t="str">
        <x:v>固定结果字典；按自然人和事件去重；保留原分母、成熟与缺失记录；独立复算</x:v>
      </x:c>
      <x:c r="G8" s="8" t="str">
        <x:v>所有预期与计算一致；待核客户补证据后更新；新增边界用例复算</x:v>
      </x:c>
      <x:c r="H8" s="8" t="str">
        <x:v>首缴底稿E02、E04、E05、E03重复及末行</x:v>
      </x:c>
    </x:row>
    <x:row r="9" ht="145" customHeight="1">
      <x:c r="A9" s="8" t="str">
        <x:v>F03</x:v>
      </x:c>
      <x:c r="B9" s="8" t="str">
        <x:v>R10 成本与贡献</x:v>
      </x:c>
      <x:c r="C9" s="8" t="str">
        <x:v>申报18850元；复核归属15100元；净高估3750元，同时漏列1200元</x:v>
      </x:c>
      <x:c r="D9" s="8" t="str">
        <x:v>错误预算影响盈亏门槛；总额下降不等于费用范围充分或风险降低</x:v>
      </x:c>
      <x:c r="E9" s="8" t="str">
        <x:v>演示有重复ID、已含人工、项目／窗口错配与漏列；真实需核原始凭据及分摊</x:v>
      </x:c>
      <x:c r="F9" s="8" t="str">
        <x:v>按项目、期间、费用与支持材料核对；去重并补列；建设投入与分摊分开</x:v>
      </x:c>
      <x:c r="G9" s="8" t="str">
        <x:v>逐项金额可复算、范围明确，重复和遗漏各自关闭；预算独立复核</x:v>
      </x:c>
      <x:c r="H9" s="8" t="str">
        <x:v>成本底稿K03重复、K05–K09</x:v>
      </x:c>
    </x:row>
    <x:row r="10" ht="30" customHeight="1">
      <x:c r="A10" s="13"/>
      <x:c r="B10" s="13"/>
      <x:c r="C10" s="13"/>
      <x:c r="D10" s="13"/>
      <x:c r="E10" s="13"/>
      <x:c r="F10" s="13"/>
      <x:c r="G10" s="13"/>
      <x:c r="H10" s="13"/>
    </x:row>
    <x:row r="11" ht="30" customHeight="1">
      <x:c r="A11" s="13"/>
      <x:c r="B11" s="13"/>
      <x:c r="C11" s="13"/>
      <x:c r="D11" s="13"/>
      <x:c r="E11" s="13"/>
      <x:c r="F11" s="13"/>
      <x:c r="G11" s="13"/>
      <x:c r="H11" s="13"/>
    </x:row>
    <x:row r="12" ht="38" customHeight="1">
      <x:c r="A12" s="6" t="str">
        <x:v>整改顺序</x:v>
      </x:c>
      <x:c r="B12" s="6" t="str">
        <x:v>原因</x:v>
      </x:c>
      <x:c r="C12" s="6" t="str">
        <x:v>实施依赖</x:v>
      </x:c>
      <x:c r="D12" s="6" t="str">
        <x:v>不能越过的条件</x:v>
      </x:c>
      <x:c r="E12" s="13"/>
      <x:c r="F12" s="13"/>
      <x:c r="G12" s="13"/>
      <x:c r="H12" s="13"/>
    </x:row>
    <x:row r="13" ht="70" customHeight="1">
      <x:c r="A13" s="18" t="str">
        <x:v>先控制发送</x:v>
      </x:c>
      <x:c r="B13" s="18" t="str">
        <x:v>防止撤回后继续主动联系</x:v>
      </x:c>
      <x:c r="C13" s="18" t="str">
        <x:v>执行端校验、队列失效与回执</x:v>
      </x:c>
      <x:c r="D13" s="18" t="str">
        <x:v>不能只修界面并宣布闭环</x:v>
      </x:c>
      <x:c r="E13" s="13"/>
      <x:c r="F13" s="13"/>
      <x:c r="G13" s="13"/>
      <x:c r="H13" s="13"/>
    </x:row>
    <x:row r="14" ht="70" customHeight="1">
      <x:c r="A14" s="18" t="str">
        <x:v>再冻结结果口径</x:v>
      </x:c>
      <x:c r="B14" s="18" t="str">
        <x:v>当前故障规则会改变增量方向</x:v>
      </x:c>
      <x:c r="C14" s="18" t="str">
        <x:v>账务、事件、分流与缺失复算</x:v>
      </x:c>
      <x:c r="D14" s="18" t="str">
        <x:v>未核结果不能用于扩张</x:v>
      </x:c>
      <x:c r="E14" s="13"/>
      <x:c r="F14" s="13"/>
      <x:c r="G14" s="13"/>
      <x:c r="H14" s="13"/>
    </x:row>
    <x:row r="15" ht="70" customHeight="1">
      <x:c r="A15" s="18" t="str">
        <x:v>同步核预算</x:v>
      </x:c>
      <x:c r="B15" s="18" t="str">
        <x:v>同时处理高估与漏列</x:v>
      </x:c>
      <x:c r="C15" s="18" t="str">
        <x:v>原始凭据、费用范围与期限</x:v>
      </x:c>
      <x:c r="D15" s="18" t="str">
        <x:v>净差额不能代替逐项核实</x:v>
      </x:c>
      <x:c r="E15" s="13"/>
      <x:c r="F15" s="13"/>
      <x:c r="G15" s="13"/>
      <x:c r="H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</x:row>
    <x:row r="18" ht="30" customHeight="1">
      <x:c r="A18" s="13" t="str">
        <x:v>管理建议：先修复保护与评价控制，再形成可复核投入建议。三份底稿互不视为真实业务样本。</x:v>
      </x:c>
      <x:c r="B18" s="13"/>
      <x:c r="C18" s="13"/>
      <x:c r="D18" s="13"/>
      <x:c r="E18" s="13"/>
      <x:c r="F18" s="13"/>
      <x:c r="G18" s="13"/>
      <x:c r="H18" s="13"/>
    </x:row>
    <x:row r="19" ht="30" customHeight="1">
      <x:c r="A19" s="13" t="str">
        <x:v>本次只执行表内故障规则与复算规则。整改建议尚未实现，现有矩阵的银行验证进度仍为未验证。</x:v>
      </x:c>
      <x:c r="B19" s="13"/>
      <x:c r="C19" s="13"/>
      <x:c r="D19" s="13"/>
      <x:c r="E19" s="13"/>
      <x:c r="F19" s="13"/>
      <x:c r="G19" s="13"/>
      <x:c r="H19" s="13"/>
    </x:row>
    <x:row r="20" ht="30" customHeight="1">
      <x:c r="A20" s="13"/>
      <x:c r="B20" s="13"/>
      <x:c r="C20" s="13"/>
      <x:c r="D20" s="13"/>
      <x:c r="E20" s="13"/>
      <x:c r="F20" s="13"/>
      <x:c r="G20" s="13"/>
      <x:c r="H20" s="13"/>
    </x:row>
    <x:row r="21" ht="30" customHeight="1">
      <x:c r="A21" s="13"/>
      <x:c r="B21" s="13"/>
      <x:c r="C21" s="13"/>
      <x:c r="D21" s="13"/>
      <x:c r="E21" s="13"/>
      <x:c r="F21" s="13"/>
      <x:c r="G21" s="13"/>
      <x:c r="H21" s="13"/>
    </x:row>
    <x:row r="22" ht="30" customHeight="1">
      <x:c r="A22" s="13"/>
      <x:c r="B22" s="13"/>
      <x:c r="C22" s="13"/>
      <x:c r="D22" s="13"/>
      <x:c r="E22" s="13"/>
      <x:c r="F22" s="13"/>
      <x:c r="G22" s="13"/>
      <x:c r="H22" s="13"/>
    </x:row>
    <x:row r="23" ht="30" customHeight="1">
      <x:c r="A23" s="13"/>
      <x:c r="B23" s="13"/>
      <x:c r="C23" s="13"/>
      <x:c r="D23" s="13"/>
      <x:c r="E23" s="13"/>
      <x:c r="F23" s="13"/>
      <x:c r="G23" s="13"/>
      <x:c r="H23" s="13"/>
    </x:row>
    <x:row r="24" ht="30" customHeight="1">
      <x:c r="A24" s="13"/>
      <x:c r="B24" s="13"/>
      <x:c r="C24" s="13"/>
      <x:c r="D24" s="13"/>
      <x:c r="E24" s="13"/>
      <x:c r="F24" s="13"/>
      <x:c r="G24" s="13"/>
      <x:c r="H24" s="13"/>
    </x:row>
    <x:row r="25" ht="30" customHeight="1">
      <x:c r="A25" s="13"/>
      <x:c r="B25" s="13"/>
      <x:c r="C25" s="13"/>
      <x:c r="D25" s="13"/>
      <x:c r="E25" s="13"/>
      <x:c r="F25" s="13"/>
      <x:c r="G25" s="13"/>
      <x:c r="H25" s="13"/>
    </x:row>
    <x:row r="26" ht="30" customHeight="1">
      <x:c r="A26" s="13"/>
      <x:c r="B26" s="13"/>
      <x:c r="C26" s="13"/>
      <x:c r="D26" s="13"/>
      <x:c r="E26" s="13"/>
      <x:c r="F26" s="13"/>
      <x:c r="G26" s="13"/>
      <x:c r="H26" s="13"/>
    </x:row>
    <x:row r="27" ht="30" customHeight="1">
      <x:c r="A27" s="13"/>
      <x:c r="B27" s="13"/>
      <x:c r="C27" s="13"/>
      <x:c r="D27" s="13"/>
      <x:c r="E27" s="13"/>
      <x:c r="F27" s="13"/>
      <x:c r="G27" s="13"/>
      <x:c r="H27" s="13"/>
    </x:row>
    <x:row r="28" ht="30" customHeight="1">
      <x:c r="A28" s="13"/>
      <x:c r="B28" s="13"/>
      <x:c r="C28" s="13"/>
      <x:c r="D28" s="13"/>
      <x:c r="E28" s="13"/>
      <x:c r="F28" s="13"/>
      <x:c r="G28" s="13"/>
      <x:c r="H28" s="13"/>
    </x:row>
    <x:row r="29" ht="30" customHeight="1">
      <x:c r="A29" s="13"/>
      <x:c r="B29" s="13"/>
      <x:c r="C29" s="13"/>
      <x:c r="D29" s="13"/>
      <x:c r="E29" s="13"/>
      <x:c r="F29" s="13"/>
      <x:c r="G29" s="13"/>
      <x:c r="H29" s="13"/>
    </x:row>
    <x:row r="30" ht="30" customHeight="1">
      <x:c r="A30" s="13"/>
      <x:c r="B30" s="13"/>
      <x:c r="C30" s="13"/>
      <x:c r="D30" s="13"/>
      <x:c r="E30" s="13"/>
      <x:c r="F30" s="13"/>
      <x:c r="G30" s="13"/>
      <x:c r="H30" s="13"/>
    </x:row>
    <x:row r="31" ht="30" customHeight="1">
      <x:c r="A31" s="13"/>
      <x:c r="B31" s="13"/>
      <x:c r="C31" s="13"/>
      <x:c r="D31" s="13"/>
      <x:c r="E31" s="13"/>
      <x:c r="F31" s="13"/>
      <x:c r="G31" s="13"/>
      <x:c r="H31" s="13"/>
    </x:row>
    <x:row r="32" ht="30" customHeight="1">
      <x:c r="A32" s="13"/>
      <x:c r="B32" s="13"/>
      <x:c r="C32" s="13"/>
      <x:c r="D32" s="13"/>
      <x:c r="E32" s="13"/>
      <x:c r="F32" s="13"/>
      <x:c r="G32" s="13"/>
      <x:c r="H32" s="13"/>
    </x:row>
    <x:row r="33" ht="30" customHeight="1">
      <x:c r="A33" s="13"/>
      <x:c r="B33" s="13"/>
      <x:c r="C33" s="13"/>
      <x:c r="D33" s="13"/>
      <x:c r="E33" s="13"/>
      <x:c r="F33" s="13"/>
      <x:c r="G33" s="13"/>
      <x:c r="H33" s="13"/>
    </x:row>
    <x:row r="34" ht="30" customHeight="1">
      <x:c r="A34" s="13"/>
      <x:c r="B34" s="13"/>
      <x:c r="C34" s="13"/>
      <x:c r="D34" s="13"/>
      <x:c r="E34" s="13"/>
      <x:c r="F34" s="13"/>
      <x:c r="G34" s="13"/>
      <x:c r="H34" s="13"/>
    </x:row>
    <x:row r="35" ht="30" customHeight="1">
      <x:c r="A35" s="13"/>
      <x:c r="B35" s="13"/>
      <x:c r="C35" s="13"/>
      <x:c r="D35" s="13"/>
      <x:c r="E35" s="13"/>
      <x:c r="F35" s="13"/>
      <x:c r="G35" s="13"/>
      <x:c r="H35" s="13"/>
    </x:row>
    <x:row r="36" ht="30" customHeight="1">
      <x:c r="A36" s="13"/>
      <x:c r="B36" s="13"/>
      <x:c r="C36" s="13"/>
      <x:c r="D36" s="13"/>
      <x:c r="E36" s="13"/>
      <x:c r="F36" s="13"/>
      <x:c r="G36" s="13"/>
      <x:c r="H36" s="13"/>
    </x:row>
    <x:row r="37" ht="30" customHeight="1">
      <x:c r="A37" s="13"/>
      <x:c r="B37" s="13"/>
      <x:c r="C37" s="13"/>
      <x:c r="D37" s="13"/>
      <x:c r="E37" s="13"/>
      <x:c r="F37" s="13"/>
      <x:c r="G37" s="13"/>
      <x:c r="H37" s="13"/>
    </x:row>
    <x:row r="38" ht="30" customHeight="1">
      <x:c r="A38" s="13"/>
      <x:c r="B38" s="13"/>
      <x:c r="C38" s="13"/>
      <x:c r="D38" s="13"/>
      <x:c r="E38" s="13"/>
      <x:c r="F38" s="13"/>
      <x:c r="G38" s="13"/>
      <x:c r="H38" s="13"/>
    </x:row>
    <x:row r="39" ht="30" customHeight="1">
      <x:c r="A39" s="13"/>
      <x:c r="B39" s="13"/>
      <x:c r="C39" s="13"/>
      <x:c r="D39" s="13"/>
      <x:c r="E39" s="13"/>
      <x:c r="F39" s="13"/>
      <x:c r="G39" s="13"/>
      <x:c r="H39" s="13"/>
    </x:row>
    <x:row r="40" ht="30" customHeight="1">
      <x:c r="A40" s="13"/>
      <x:c r="B40" s="13"/>
      <x:c r="C40" s="13"/>
      <x:c r="D40" s="13"/>
      <x:c r="E40" s="13"/>
      <x:c r="F40" s="13"/>
      <x:c r="G40" s="13"/>
      <x:c r="H40" s="13"/>
    </x:row>
    <x:row r="41" ht="30" customHeight="1">
      <x:c r="A41" s="13"/>
      <x:c r="B41" s="13"/>
      <x:c r="C41" s="13"/>
      <x:c r="D41" s="13"/>
      <x:c r="E41" s="13"/>
      <x:c r="F41" s="13"/>
      <x:c r="G41" s="13"/>
      <x:c r="H41" s="13"/>
    </x:row>
    <x:row r="42" ht="30" customHeight="1">
      <x:c r="A42" s="13"/>
      <x:c r="B42" s="13"/>
      <x:c r="C42" s="13"/>
      <x:c r="D42" s="13"/>
      <x:c r="E42" s="13"/>
      <x:c r="F42" s="13"/>
      <x:c r="G42" s="13"/>
      <x:c r="H42" s="13"/>
    </x:row>
    <x:row r="43" ht="30" customHeight="1">
      <x:c r="A43" s="13"/>
      <x:c r="B43" s="13"/>
      <x:c r="C43" s="13"/>
      <x:c r="D43" s="13"/>
      <x:c r="E43" s="13"/>
      <x:c r="F43" s="13"/>
      <x:c r="G43" s="13"/>
      <x:c r="H43" s="13"/>
    </x:row>
    <x:row r="44" ht="30" customHeight="1">
      <x:c r="A44" s="13"/>
      <x:c r="B44" s="13"/>
      <x:c r="C44" s="13"/>
      <x:c r="D44" s="13"/>
      <x:c r="E44" s="13"/>
      <x:c r="F44" s="13"/>
      <x:c r="G44" s="13"/>
      <x:c r="H44" s="13"/>
    </x:row>
    <x:row r="45" ht="30" customHeight="1">
      <x:c r="A45" s="13"/>
      <x:c r="B45" s="13"/>
      <x:c r="C45" s="13"/>
      <x:c r="D45" s="13"/>
      <x:c r="E45" s="13"/>
      <x:c r="F45" s="13"/>
      <x:c r="G45" s="13"/>
      <x:c r="H45" s="13"/>
    </x:row>
    <x:row r="46" ht="30" customHeight="1">
      <x:c r="A46" s="13"/>
      <x:c r="B46" s="13"/>
      <x:c r="C46" s="13"/>
      <x:c r="D46" s="13"/>
      <x:c r="E46" s="13"/>
      <x:c r="F46" s="13"/>
      <x:c r="G46" s="13"/>
      <x:c r="H46" s="13"/>
    </x:row>
    <x:row r="47" ht="30" customHeight="1">
      <x:c r="A47" s="13"/>
      <x:c r="B47" s="13"/>
      <x:c r="C47" s="13"/>
      <x:c r="D47" s="13"/>
      <x:c r="E47" s="13"/>
      <x:c r="F47" s="13"/>
      <x:c r="G47" s="13"/>
      <x:c r="H47" s="13"/>
    </x:row>
    <x:row r="48" ht="30" customHeight="1">
      <x:c r="A48" s="13"/>
      <x:c r="B48" s="13"/>
      <x:c r="C48" s="13"/>
      <x:c r="D48" s="13"/>
      <x:c r="E48" s="13"/>
      <x:c r="F48" s="13"/>
      <x:c r="G48" s="13"/>
      <x:c r="H48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3" hidden="0" customWidth="1"/>
    <x:col min="4" max="4" width="23" hidden="0" customWidth="1"/>
    <x:col min="5" max="5" width="23" hidden="0" customWidth="1"/>
    <x:col min="6" max="6" width="21" hidden="0" customWidth="1"/>
    <x:col min="7" max="7" width="21" hidden="0" customWidth="1"/>
    <x:col min="8" max="8" width="25" hidden="0" customWidth="1"/>
    <x:col min="9" max="9" width="22" hidden="0" customWidth="1"/>
    <x:col min="10" max="10" width="50" hidden="0" customWidth="1"/>
  </x:cols>
  <x:sheetData>
    <x:row r="1" ht="30" customHeight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0" customHeight="1">
      <x:c r="A2" s="14" t="str">
        <x:v>许可控制模拟测试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30" customHeight="1">
      <x:c r="A4" s="13" t="str">
        <x:v>虚构发送记录，时间为同日分钟数；故障规则仅在排队时检查许可。不是现有Alpha或银行缺陷。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 ht="38" customHeight="1">
      <x:c r="A6" s="6" t="str">
        <x:v>案例ID</x:v>
      </x:c>
      <x:c r="B6" s="6" t="str">
        <x:v>客户ID</x:v>
      </x:c>
      <x:c r="C6" s="6" t="str">
        <x:v>撤回时刻</x:v>
      </x:c>
      <x:c r="D6" s="6" t="str">
        <x:v>排队时刻</x:v>
      </x:c>
      <x:c r="E6" s="6" t="str">
        <x:v>发送时刻</x:v>
      </x:c>
      <x:c r="F6" s="6" t="str">
        <x:v>执行状态</x:v>
      </x:c>
      <x:c r="G6" s="6" t="str">
        <x:v>故障规则判断</x:v>
      </x:c>
      <x:c r="H6" s="6" t="str">
        <x:v>应有判断</x:v>
      </x:c>
      <x:c r="I6" s="6" t="str">
        <x:v>复核结果</x:v>
      </x:c>
      <x:c r="J6" s="6" t="str">
        <x:v>控制解释</x:v>
      </x:c>
    </x:row>
    <x:row r="7" ht="66" customHeight="1">
      <x:c r="A7" s="18" t="str">
        <x:v>S01</x:v>
      </x:c>
      <x:c r="B7" s="18" t="str">
        <x:v>C001</x:v>
      </x:c>
      <x:c r="C7" s="19" t="n">
        <x:v>550</x:v>
      </x:c>
      <x:c r="D7" s="19" t="n">
        <x:v>545</x:v>
      </x:c>
      <x:c r="E7" s="19" t="n">
        <x:v>552</x:v>
      </x:c>
      <x:c r="F7" s="18" t="str">
        <x:v>已发送</x:v>
      </x:c>
      <x:c r="G7" s="18" t="str">
        <x:f>IF(D7="","缺入队时间",IF(C7="","允许",IF(D7&lt;C7,"允许","禁止")))</x:f>
        <x:v>允许</x:v>
      </x:c>
      <x:c r="H7" s="18" t="str">
        <x:f>IF(F7="已取消","不发送",IF(E7="","无法判断",IF(C7="","允许",IF(E7&gt;=C7,"禁止","允许"))))</x:f>
        <x:v>禁止</x:v>
      </x:c>
      <x:c r="I7" s="18" t="str">
        <x:f>IF(H7="无法判断","证据缺失",IF(AND(F7="已发送",H7="禁止"),"控制失效",IF(AND(F7="已取消",H7="不发送"),"已拦截","符合演示口径")))</x:f>
        <x:v>控制失效</x:v>
      </x:c>
      <x:c r="J7" s="18" t="str">
        <x:v>撤回前排队，撤回后发送；检查执行前重校验</x:v>
      </x:c>
    </x:row>
    <x:row r="8" ht="66" customHeight="1">
      <x:c r="A8" s="18" t="str">
        <x:v>S02</x:v>
      </x:c>
      <x:c r="B8" s="18" t="str">
        <x:v>C002</x:v>
      </x:c>
      <x:c r="C8" s="19"/>
      <x:c r="D8" s="19" t="n">
        <x:v>545</x:v>
      </x:c>
      <x:c r="E8" s="19" t="n">
        <x:v>551</x:v>
      </x:c>
      <x:c r="F8" s="18" t="str">
        <x:v>已发送</x:v>
      </x:c>
      <x:c r="G8" s="18" t="str">
        <x:f>IF(D8="","缺入队时间",IF(C8="","允许",IF(D8&lt;C8,"允许","禁止")))</x:f>
        <x:v>允许</x:v>
      </x:c>
      <x:c r="H8" s="18" t="str">
        <x:f>IF(F8="已取消","不发送",IF(E8="","无法判断",IF(C8="","允许",IF(E8&gt;=C8,"禁止","允许"))))</x:f>
        <x:v>允许</x:v>
      </x:c>
      <x:c r="I8" s="18" t="str">
        <x:f>IF(H8="无法判断","证据缺失",IF(AND(F8="已发送",H8="禁止"),"控制失效",IF(AND(F8="已取消",H8="不发送"),"已拦截","符合演示口径")))</x:f>
        <x:v>符合演示口径</x:v>
      </x:c>
      <x:c r="J8" s="18" t="str">
        <x:v>无撤回记录，演示前提为已获有效许可</x:v>
      </x:c>
    </x:row>
    <x:row r="9" ht="66" customHeight="1">
      <x:c r="A9" s="18" t="str">
        <x:v>S03</x:v>
      </x:c>
      <x:c r="B9" s="18" t="str">
        <x:v>C003</x:v>
      </x:c>
      <x:c r="C9" s="19" t="n">
        <x:v>550</x:v>
      </x:c>
      <x:c r="D9" s="19" t="n">
        <x:v>560</x:v>
      </x:c>
      <x:c r="E9" s="19"/>
      <x:c r="F9" s="18" t="str">
        <x:v>已取消</x:v>
      </x:c>
      <x:c r="G9" s="18" t="str">
        <x:f>IF(D9="","缺入队时间",IF(C9="","允许",IF(D9&lt;C9,"允许","禁止")))</x:f>
        <x:v>禁止</x:v>
      </x:c>
      <x:c r="H9" s="18" t="str">
        <x:f>IF(F9="已取消","不发送",IF(E9="","无法判断",IF(C9="","允许",IF(E9&gt;=C9,"禁止","允许"))))</x:f>
        <x:v>不发送</x:v>
      </x:c>
      <x:c r="I9" s="18" t="str">
        <x:f>IF(H9="无法判断","证据缺失",IF(AND(F9="已发送",H9="禁止"),"控制失效",IF(AND(F9="已取消",H9="不发送"),"已拦截","符合演示口径")))</x:f>
        <x:v>已拦截</x:v>
      </x:c>
      <x:c r="J9" s="18" t="str">
        <x:v>撤回后入队并取消；无发送时点</x:v>
      </x:c>
    </x:row>
    <x:row r="10" ht="66" customHeight="1">
      <x:c r="A10" s="18" t="str">
        <x:v>S04</x:v>
      </x:c>
      <x:c r="B10" s="18" t="str">
        <x:v>C004</x:v>
      </x:c>
      <x:c r="C10" s="19" t="n">
        <x:v>550</x:v>
      </x:c>
      <x:c r="D10" s="19" t="n">
        <x:v>545</x:v>
      </x:c>
      <x:c r="E10" s="19" t="n">
        <x:v>548</x:v>
      </x:c>
      <x:c r="F10" s="18" t="str">
        <x:v>已发送</x:v>
      </x:c>
      <x:c r="G10" s="18" t="str">
        <x:f>IF(D10="","缺入队时间",IF(C10="","允许",IF(D10&lt;C10,"允许","禁止")))</x:f>
        <x:v>允许</x:v>
      </x:c>
      <x:c r="H10" s="18" t="str">
        <x:f>IF(F10="已取消","不发送",IF(E10="","无法判断",IF(C10="","允许",IF(E10&gt;=C10,"禁止","允许"))))</x:f>
        <x:v>允许</x:v>
      </x:c>
      <x:c r="I10" s="18" t="str">
        <x:f>IF(H10="无法判断","证据缺失",IF(AND(F10="已发送",H10="禁止"),"控制失效",IF(AND(F10="已取消",H10="不发送"),"已拦截","符合演示口径")))</x:f>
        <x:v>符合演示口径</x:v>
      </x:c>
      <x:c r="J10" s="18" t="str">
        <x:v>撤回前发送；不得用未来撤回倒判违规</x:v>
      </x:c>
    </x:row>
    <x:row r="11" ht="66" customHeight="1">
      <x:c r="A11" s="18" t="str">
        <x:v>S05</x:v>
      </x:c>
      <x:c r="B11" s="18" t="str">
        <x:v>C005</x:v>
      </x:c>
      <x:c r="C11" s="19" t="n">
        <x:v>550</x:v>
      </x:c>
      <x:c r="D11" s="19" t="n">
        <x:v>545</x:v>
      </x:c>
      <x:c r="E11" s="19"/>
      <x:c r="F11" s="18" t="str">
        <x:v>已取消</x:v>
      </x:c>
      <x:c r="G11" s="18" t="str">
        <x:f>IF(D11="","缺入队时间",IF(C11="","允许",IF(D11&lt;C11,"允许","禁止")))</x:f>
        <x:v>允许</x:v>
      </x:c>
      <x:c r="H11" s="18" t="str">
        <x:f>IF(F11="已取消","不发送",IF(E11="","无法判断",IF(C11="","允许",IF(E11&gt;=C11,"禁止","允许"))))</x:f>
        <x:v>不发送</x:v>
      </x:c>
      <x:c r="I11" s="18" t="str">
        <x:f>IF(H11="无法判断","证据缺失",IF(AND(F11="已发送",H11="禁止"),"控制失效",IF(AND(F11="已取消",H11="不发送"),"已拦截","符合演示口径")))</x:f>
        <x:v>已拦截</x:v>
      </x:c>
      <x:c r="J11" s="18" t="str">
        <x:v>入队后取消；需回执支持</x:v>
      </x:c>
    </x:row>
    <x:row r="12" ht="66" customHeight="1">
      <x:c r="A12" s="18" t="str">
        <x:v>S06</x:v>
      </x:c>
      <x:c r="B12" s="18" t="str">
        <x:v>C006</x:v>
      </x:c>
      <x:c r="C12" s="19" t="n">
        <x:v>550</x:v>
      </x:c>
      <x:c r="D12" s="19" t="n">
        <x:v>545</x:v>
      </x:c>
      <x:c r="E12" s="19"/>
      <x:c r="F12" s="18" t="str">
        <x:v>已发送</x:v>
      </x:c>
      <x:c r="G12" s="18" t="str">
        <x:f>IF(D12="","缺入队时间",IF(C12="","允许",IF(D12&lt;C12,"允许","禁止")))</x:f>
        <x:v>允许</x:v>
      </x:c>
      <x:c r="H12" s="18" t="str">
        <x:f>IF(F12="已取消","不发送",IF(E12="","无法判断",IF(C12="","允许",IF(E12&gt;=C12,"禁止","允许"))))</x:f>
        <x:v>无法判断</x:v>
      </x:c>
      <x:c r="I12" s="18" t="str">
        <x:f>IF(H12="无法判断","证据缺失",IF(AND(F12="已发送",H12="禁止"),"控制失效",IF(AND(F12="已取消",H12="不发送"),"已拦截","符合演示口径")))</x:f>
        <x:v>证据缺失</x:v>
      </x:c>
      <x:c r="J12" s="18" t="str">
        <x:v>缺发送时间，不能判作合格</x:v>
      </x:c>
    </x:row>
    <x:row r="13" ht="66" customHeight="1">
      <x:c r="A13" s="18" t="str">
        <x:v>S07</x:v>
      </x:c>
      <x:c r="B13" s="18" t="str">
        <x:v>C007</x:v>
      </x:c>
      <x:c r="C13" s="19" t="n">
        <x:v>550</x:v>
      </x:c>
      <x:c r="D13" s="19" t="n">
        <x:v>545</x:v>
      </x:c>
      <x:c r="E13" s="19" t="n">
        <x:v>550</x:v>
      </x:c>
      <x:c r="F13" s="18" t="str">
        <x:v>已发送</x:v>
      </x:c>
      <x:c r="G13" s="18" t="str">
        <x:f>IF(D13="","缺入队时间",IF(C13="","允许",IF(D13&lt;C13,"允许","禁止")))</x:f>
        <x:v>允许</x:v>
      </x:c>
      <x:c r="H13" s="18" t="str">
        <x:f>IF(F13="已取消","不发送",IF(E13="","无法判断",IF(C13="","允许",IF(E13&gt;=C13,"禁止","允许"))))</x:f>
        <x:v>禁止</x:v>
      </x:c>
      <x:c r="I13" s="18" t="str">
        <x:f>IF(H13="无法判断","证据缺失",IF(AND(F13="已发送",H13="禁止"),"控制失效",IF(AND(F13="已取消",H13="不发送"),"已拦截","符合演示口径")))</x:f>
        <x:v>控制失效</x:v>
      </x:c>
      <x:c r="J13" s="18" t="str">
        <x:v>同一时刻按撤回已生效处理，演示口径需真实时间序列支持</x:v>
      </x:c>
    </x:row>
    <x:row r="14" ht="66" customHeight="1">
      <x:c r="A14" s="18" t="str">
        <x:v>S08</x:v>
      </x:c>
      <x:c r="B14" s="18" t="str">
        <x:v>C008</x:v>
      </x:c>
      <x:c r="C14" s="19" t="n">
        <x:v>550</x:v>
      </x:c>
      <x:c r="D14" s="19" t="n">
        <x:v>545</x:v>
      </x:c>
      <x:c r="E14" s="19" t="n">
        <x:v>552</x:v>
      </x:c>
      <x:c r="F14" s="18" t="str">
        <x:v>已发送</x:v>
      </x:c>
      <x:c r="G14" s="18" t="str">
        <x:f>IF(D14="","缺入队时间",IF(C14="","允许",IF(D14&lt;C14,"允许","禁止")))</x:f>
        <x:v>允许</x:v>
      </x:c>
      <x:c r="H14" s="18" t="str">
        <x:f>IF(F14="已取消","不发送",IF(E14="","无法判断",IF(C14="","允许",IF(E14&gt;=C14,"禁止","允许"))))</x:f>
        <x:v>禁止</x:v>
      </x:c>
      <x:c r="I14" s="18" t="str">
        <x:f>IF(H14="无法判断","证据缺失",IF(AND(F14="已发送",H14="禁止"),"控制失效",IF(AND(F14="已取消",H14="不发送"),"已拦截","符合演示口径")))</x:f>
        <x:v>控制失效</x:v>
      </x:c>
      <x:c r="J14" s="18" t="str">
        <x:v>独立植入第二条撤回后仍发送记录</x:v>
      </x:c>
    </x:row>
    <x:row r="15" ht="3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30" customHeight="1">
      <x:c r="A17" s="13" t="str">
        <x:v>撤回后仍发送</x:v>
      </x:c>
      <x:c r="B17" s="13" t="n">
        <x:f>COUNTIFS(I7:I14,"控制失效")</x:f>
        <x:v>3</x:v>
      </x:c>
      <x:c r="C17" s="13"/>
      <x:c r="D17" s="13"/>
      <x:c r="E17" s="13"/>
      <x:c r="F17" s="13"/>
      <x:c r="G17" s="13"/>
      <x:c r="H17" s="13"/>
      <x:c r="I17" s="13"/>
      <x:c r="J17" s="13"/>
    </x:row>
    <x:row r="18" ht="30" customHeight="1">
      <x:c r="A18" s="13" t="str">
        <x:v>证据不足记录</x:v>
      </x:c>
      <x:c r="B18" s="13" t="n">
        <x:f>COUNTIFS(I7:I14,"证据缺失")</x:f>
        <x:v>1</x:v>
      </x:c>
      <x:c r="C18" s="13"/>
      <x:c r="D18" s="13"/>
      <x:c r="E18" s="13"/>
      <x:c r="F18" s="13"/>
      <x:c r="G18" s="13"/>
      <x:c r="H18" s="13"/>
      <x:c r="I18" s="13"/>
      <x:c r="J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 ht="30" customHeight="1">
      <x:c r="A20" s="13" t="str">
        <x:v>故障定位：S01、S07、S08入队时许可尚有效，故障规则允许；执行时许可已撤回，未重新校验。</x:v>
      </x:c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30" customHeight="1">
      <x:c r="A21" s="13" t="str">
        <x:v>整改：发送前再校验许可与频控；撤回使排队任务失效；保留执行回执与事件次序。</x:v>
      </x:c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 ht="30" customHeight="1">
      <x:c r="A22" s="13" t="str">
        <x:v>回归要求：取消、延迟、重试和同刻事件都需覆盖。单个前端停止按钮不能证明执行端有效。</x:v>
      </x:c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 ht="3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 ht="3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 ht="3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3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3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3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 ht="3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 ht="3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 ht="3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3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 ht="3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 ht="3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3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 ht="3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 ht="3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3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 ht="3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 ht="3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30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 ht="30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 ht="30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 ht="30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 ht="30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 ht="30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 ht="30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 ht="30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31" hidden="0" customWidth="1"/>
    <x:col min="10" max="10" width="20" hidden="0" customWidth="1"/>
    <x:col min="11" max="11" width="53" hidden="0" customWidth="1"/>
    <x:col min="12" max="12" width="23" hidden="0" customWidth="1"/>
  </x:cols>
  <x:sheetData>
    <x:row r="1" ht="30" customHeight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30" customHeight="1">
      <x:c r="A2" s="14" t="str">
        <x:v>首缴结果模拟复算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30" customHeight="1">
      <x:c r="A4" s="13" t="str">
        <x:v>虚构两臂各100名入组客户。除已标记待核客户外，账务观察完整；无交易者已确认无首缴。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38" customHeight="1">
      <x:c r="A6" s="6" t="str">
        <x:v>事件ID</x:v>
      </x:c>
      <x:c r="B6" s="6" t="str">
        <x:v>原随机臂</x:v>
      </x:c>
      <x:c r="C6" s="6" t="str">
        <x:v>客户ID</x:v>
      </x:c>
      <x:c r="D6" s="6" t="str">
        <x:v>发生日</x:v>
      </x:c>
      <x:c r="E6" s="6" t="str">
        <x:v>冲正日</x:v>
      </x:c>
      <x:c r="F6" s="6" t="str">
        <x:v>账务状态</x:v>
      </x:c>
      <x:c r="G6" s="6" t="str">
        <x:v>故障计数</x:v>
      </x:c>
      <x:c r="H6" s="6" t="str">
        <x:v>排除／待核原因</x:v>
      </x:c>
      <x:c r="I6" s="6" t="str">
        <x:v>示例预期</x:v>
      </x:c>
      <x:c r="J6" s="6" t="str">
        <x:v>有效计数</x:v>
      </x:c>
      <x:c r="K6" s="6" t="str">
        <x:v>边界说明</x:v>
      </x:c>
      <x:c r="L6" s="6" t="str">
        <x:v>对照核验</x:v>
      </x:c>
    </x:row>
    <x:row r="7" ht="60" customHeight="1">
      <x:c r="A7" s="18" t="str">
        <x:v>E01</x:v>
      </x:c>
      <x:c r="B7" s="18" t="str">
        <x:v>B</x:v>
      </x:c>
      <x:c r="C7" s="18" t="str">
        <x:v>B001</x:v>
      </x:c>
      <x:c r="D7" s="18" t="n">
        <x:v>10</x:v>
      </x:c>
      <x:c r="E7" s="18"/>
      <x:c r="F7" s="18" t="str">
        <x:v>成功</x:v>
      </x:c>
      <x:c r="G7" s="18" t="n">
        <x:f>IF(F7="成功",1,0)</x:f>
        <x:v>1</x:v>
      </x:c>
      <x:c r="H7" s="18" t="str">
        <x:f>IF(OR(A7="",C7="",D7=""),"关键字段缺失",IF(F7&lt;&gt;"成功","交易未成功",IF(OR(D7&lt;0,D7&gt;60),"观察窗外",IF(AND(ISNUMBER(E7),E7&lt;=67),"已冲正",IF(COUNTIFS($A$7:A7,A7)&gt;1,"重复事件",IF(0&gt;0,"同人重复","有效"))))))</x:f>
        <x:v>有效</x:v>
      </x:c>
      <x:c r="I7" s="18" t="n">
        <x:v>1</x:v>
      </x:c>
      <x:c r="J7" s="18" t="n">
        <x:f>IF(H7="关键字段缺失","待核",IF(H7="有效",1,0))</x:f>
        <x:v>1</x:v>
      </x:c>
      <x:c r="K7" s="18" t="str">
        <x:v>有效记录</x:v>
      </x:c>
      <x:c r="L7" s="18" t="str">
        <x:f>IF(I7=J7,"一致","需检查")</x:f>
        <x:v>一致</x:v>
      </x:c>
    </x:row>
    <x:row r="8" ht="60" customHeight="1">
      <x:c r="A8" s="18" t="str">
        <x:v>E02</x:v>
      </x:c>
      <x:c r="B8" s="18" t="str">
        <x:v>B</x:v>
      </x:c>
      <x:c r="C8" s="18" t="str">
        <x:v>B001</x:v>
      </x:c>
      <x:c r="D8" s="18" t="n">
        <x:v>11</x:v>
      </x:c>
      <x:c r="E8" s="18"/>
      <x:c r="F8" s="18" t="str">
        <x:v>成功</x:v>
      </x:c>
      <x:c r="G8" s="18" t="n">
        <x:f>IF(F8="成功",1,0)</x:f>
        <x:v>1</x:v>
      </x:c>
      <x:c r="H8" s="18" t="str">
        <x:f>IF(OR(A8="",C8="",D8=""),"关键字段缺失",IF(F8&lt;&gt;"成功","交易未成功",IF(OR(D8&lt;0,D8&gt;60),"观察窗外",IF(AND(ISNUMBER(E8),E8&lt;=67),"已冲正",IF(COUNTIFS($A$7:A8,A8)&gt;1,"重复事件",IF(COUNTIFS($C$7:C7,C8,$J$7:J7,1)&gt;0,"同人重复","有效"))))))</x:f>
        <x:v>同人重复</x:v>
      </x:c>
      <x:c r="I8" s="18" t="n">
        <x:v>0</x:v>
      </x:c>
      <x:c r="J8" s="18" t="n">
        <x:f>IF(H8="关键字段缺失","待核",IF(H8="有效",1,0))</x:f>
        <x:v>0</x:v>
      </x:c>
      <x:c r="K8" s="18" t="str">
        <x:v>同一客户再次缴存，不重复首缴</x:v>
      </x:c>
      <x:c r="L8" s="18" t="str">
        <x:f>IF(I8=J8,"一致","需检查")</x:f>
        <x:v>一致</x:v>
      </x:c>
    </x:row>
    <x:row r="9" ht="60" customHeight="1">
      <x:c r="A9" s="18" t="str">
        <x:v>E03</x:v>
      </x:c>
      <x:c r="B9" s="18" t="str">
        <x:v>T</x:v>
      </x:c>
      <x:c r="C9" s="18" t="str">
        <x:v>T001</x:v>
      </x:c>
      <x:c r="D9" s="18" t="n">
        <x:v>20</x:v>
      </x:c>
      <x:c r="E9" s="18"/>
      <x:c r="F9" s="18" t="str">
        <x:v>成功</x:v>
      </x:c>
      <x:c r="G9" s="18" t="n">
        <x:f>IF(F9="成功",1,0)</x:f>
        <x:v>1</x:v>
      </x:c>
      <x:c r="H9" s="18" t="str">
        <x:f>IF(OR(A9="",C9="",D9=""),"关键字段缺失",IF(F9&lt;&gt;"成功","交易未成功",IF(OR(D9&lt;0,D9&gt;60),"观察窗外",IF(AND(ISNUMBER(E9),E9&lt;=67),"已冲正",IF(COUNTIFS($A$7:A9,A9)&gt;1,"重复事件",IF(COUNTIFS($C$7:C8,C9,$J$7:J8,1)&gt;0,"同人重复","有效"))))))</x:f>
        <x:v>有效</x:v>
      </x:c>
      <x:c r="I9" s="18" t="n">
        <x:v>1</x:v>
      </x:c>
      <x:c r="J9" s="18" t="n">
        <x:f>IF(H9="关键字段缺失","待核",IF(H9="有效",1,0))</x:f>
        <x:v>1</x:v>
      </x:c>
      <x:c r="K9" s="18" t="str">
        <x:v>有效记录</x:v>
      </x:c>
      <x:c r="L9" s="18" t="str">
        <x:f>IF(I9=J9,"一致","需检查")</x:f>
        <x:v>一致</x:v>
      </x:c>
    </x:row>
    <x:row r="10" ht="60" customHeight="1">
      <x:c r="A10" s="18" t="str">
        <x:v>E04</x:v>
      </x:c>
      <x:c r="B10" s="18" t="str">
        <x:v>T</x:v>
      </x:c>
      <x:c r="C10" s="18" t="str">
        <x:v>T002</x:v>
      </x:c>
      <x:c r="D10" s="18" t="n">
        <x:v>30</x:v>
      </x:c>
      <x:c r="E10" s="18" t="n">
        <x:v>65</x:v>
      </x:c>
      <x:c r="F10" s="18" t="str">
        <x:v>成功</x:v>
      </x:c>
      <x:c r="G10" s="18" t="n">
        <x:f>IF(F10="成功",1,0)</x:f>
        <x:v>1</x:v>
      </x:c>
      <x:c r="H10" s="18" t="str">
        <x:f>IF(OR(A10="",C10="",D10=""),"关键字段缺失",IF(F10&lt;&gt;"成功","交易未成功",IF(OR(D10&lt;0,D10&gt;60),"观察窗外",IF(AND(ISNUMBER(E10),E10&lt;=67),"已冲正",IF(COUNTIFS($A$7:A10,A10)&gt;1,"重复事件",IF(COUNTIFS($C$7:C9,C10,$J$7:J9,1)&gt;0,"同人重复","有效"))))))</x:f>
        <x:v>已冲正</x:v>
      </x:c>
      <x:c r="I10" s="18" t="n">
        <x:v>0</x:v>
      </x:c>
      <x:c r="J10" s="18" t="n">
        <x:f>IF(H10="关键字段缺失","待核",IF(H10="有效",1,0))</x:f>
        <x:v>0</x:v>
      </x:c>
      <x:c r="K10" s="18" t="str">
        <x:v>第67天前已冲正</x:v>
      </x:c>
      <x:c r="L10" s="18" t="str">
        <x:f>IF(I10=J10,"一致","需检查")</x:f>
        <x:v>一致</x:v>
      </x:c>
    </x:row>
    <x:row r="11" ht="60" customHeight="1">
      <x:c r="A11" s="18" t="str">
        <x:v>E05</x:v>
      </x:c>
      <x:c r="B11" s="18" t="str">
        <x:v>T</x:v>
      </x:c>
      <x:c r="C11" s="18" t="str">
        <x:v>T003</x:v>
      </x:c>
      <x:c r="D11" s="18" t="n">
        <x:v>61</x:v>
      </x:c>
      <x:c r="E11" s="18"/>
      <x:c r="F11" s="18" t="str">
        <x:v>成功</x:v>
      </x:c>
      <x:c r="G11" s="18" t="n">
        <x:f>IF(F11="成功",1,0)</x:f>
        <x:v>1</x:v>
      </x:c>
      <x:c r="H11" s="18" t="str">
        <x:f>IF(OR(A11="",C11="",D11=""),"关键字段缺失",IF(F11&lt;&gt;"成功","交易未成功",IF(OR(D11&lt;0,D11&gt;60),"观察窗外",IF(AND(ISNUMBER(E11),E11&lt;=67),"已冲正",IF(COUNTIFS($A$7:A11,A11)&gt;1,"重复事件",IF(COUNTIFS($C$7:C10,C11,$J$7:J10,1)&gt;0,"同人重复","有效"))))))</x:f>
        <x:v>观察窗外</x:v>
      </x:c>
      <x:c r="I11" s="18" t="n">
        <x:v>0</x:v>
      </x:c>
      <x:c r="J11" s="18" t="n">
        <x:f>IF(H11="关键字段缺失","待核",IF(H11="有效",1,0))</x:f>
        <x:v>0</x:v>
      </x:c>
      <x:c r="K11" s="18" t="str">
        <x:v>第60天窗外，不补入主结果</x:v>
      </x:c>
      <x:c r="L11" s="18" t="str">
        <x:f>IF(I11=J11,"一致","需检查")</x:f>
        <x:v>一致</x:v>
      </x:c>
    </x:row>
    <x:row r="12" ht="60" customHeight="1">
      <x:c r="A12" s="18" t="str">
        <x:v>E06</x:v>
      </x:c>
      <x:c r="B12" s="18" t="str">
        <x:v>T</x:v>
      </x:c>
      <x:c r="C12" s="18" t="str">
        <x:v>T004</x:v>
      </x:c>
      <x:c r="D12" s="18" t="n">
        <x:v>60</x:v>
      </x:c>
      <x:c r="E12" s="18"/>
      <x:c r="F12" s="18" t="str">
        <x:v>成功</x:v>
      </x:c>
      <x:c r="G12" s="18" t="n">
        <x:f>IF(F12="成功",1,0)</x:f>
        <x:v>1</x:v>
      </x:c>
      <x:c r="H12" s="18" t="str">
        <x:f>IF(OR(A12="",C12="",D12=""),"关键字段缺失",IF(F12&lt;&gt;"成功","交易未成功",IF(OR(D12&lt;0,D12&gt;60),"观察窗外",IF(AND(ISNUMBER(E12),E12&lt;=67),"已冲正",IF(COUNTIFS($A$7:A12,A12)&gt;1,"重复事件",IF(COUNTIFS($C$7:C11,C12,$J$7:J11,1)&gt;0,"同人重复","有效"))))))</x:f>
        <x:v>有效</x:v>
      </x:c>
      <x:c r="I12" s="18" t="n">
        <x:v>1</x:v>
      </x:c>
      <x:c r="J12" s="18" t="n">
        <x:f>IF(H12="关键字段缺失","待核",IF(H12="有效",1,0))</x:f>
        <x:v>1</x:v>
      </x:c>
      <x:c r="K12" s="18" t="str">
        <x:v>第60天边界内</x:v>
      </x:c>
      <x:c r="L12" s="18" t="str">
        <x:f>IF(I12=J12,"一致","需检查")</x:f>
        <x:v>一致</x:v>
      </x:c>
    </x:row>
    <x:row r="13" ht="60" customHeight="1">
      <x:c r="A13" s="18" t="str">
        <x:v>E07</x:v>
      </x:c>
      <x:c r="B13" s="18" t="str">
        <x:v>T</x:v>
      </x:c>
      <x:c r="C13" s="18" t="str">
        <x:v>T005</x:v>
      </x:c>
      <x:c r="D13" s="18" t="n">
        <x:v>25</x:v>
      </x:c>
      <x:c r="E13" s="18"/>
      <x:c r="F13" s="18" t="str">
        <x:v>失败</x:v>
      </x:c>
      <x:c r="G13" s="18" t="n">
        <x:f>IF(F13="成功",1,0)</x:f>
        <x:v>0</x:v>
      </x:c>
      <x:c r="H13" s="18" t="str">
        <x:f>IF(OR(A13="",C13="",D13=""),"关键字段缺失",IF(F13&lt;&gt;"成功","交易未成功",IF(OR(D13&lt;0,D13&gt;60),"观察窗外",IF(AND(ISNUMBER(E13),E13&lt;=67),"已冲正",IF(COUNTIFS($A$7:A13,A13)&gt;1,"重复事件",IF(COUNTIFS($C$7:C12,C13,$J$7:J12,1)&gt;0,"同人重复","有效"))))))</x:f>
        <x:v>交易未成功</x:v>
      </x:c>
      <x:c r="I13" s="18" t="n">
        <x:v>0</x:v>
      </x:c>
      <x:c r="J13" s="18" t="n">
        <x:f>IF(H13="关键字段缺失","待核",IF(H13="有效",1,0))</x:f>
        <x:v>0</x:v>
      </x:c>
      <x:c r="K13" s="18" t="str">
        <x:v>交易失败，不算首缴</x:v>
      </x:c>
      <x:c r="L13" s="18" t="str">
        <x:f>IF(I13=J13,"一致","需检查")</x:f>
        <x:v>一致</x:v>
      </x:c>
    </x:row>
    <x:row r="14" ht="60" customHeight="1">
      <x:c r="A14" s="18" t="str">
        <x:v>E08</x:v>
      </x:c>
      <x:c r="B14" s="18" t="str">
        <x:v>B</x:v>
      </x:c>
      <x:c r="C14" s="18" t="str">
        <x:v>B002</x:v>
      </x:c>
      <x:c r="D14" s="18" t="n">
        <x:v>59</x:v>
      </x:c>
      <x:c r="E14" s="18"/>
      <x:c r="F14" s="18" t="str">
        <x:v>成功</x:v>
      </x:c>
      <x:c r="G14" s="18" t="n">
        <x:f>IF(F14="成功",1,0)</x:f>
        <x:v>1</x:v>
      </x:c>
      <x:c r="H14" s="18" t="str">
        <x:f>IF(OR(A14="",C14="",D14=""),"关键字段缺失",IF(F14&lt;&gt;"成功","交易未成功",IF(OR(D14&lt;0,D14&gt;60),"观察窗外",IF(AND(ISNUMBER(E14),E14&lt;=67),"已冲正",IF(COUNTIFS($A$7:A14,A14)&gt;1,"重复事件",IF(COUNTIFS($C$7:C13,C14,$J$7:J13,1)&gt;0,"同人重复","有效"))))))</x:f>
        <x:v>有效</x:v>
      </x:c>
      <x:c r="I14" s="18" t="n">
        <x:v>1</x:v>
      </x:c>
      <x:c r="J14" s="18" t="n">
        <x:f>IF(H14="关键字段缺失","待核",IF(H14="有效",1,0))</x:f>
        <x:v>1</x:v>
      </x:c>
      <x:c r="K14" s="18" t="str">
        <x:v>有效记录</x:v>
      </x:c>
      <x:c r="L14" s="18" t="str">
        <x:f>IF(I14=J14,"一致","需检查")</x:f>
        <x:v>一致</x:v>
      </x:c>
    </x:row>
    <x:row r="15" ht="60" customHeight="1">
      <x:c r="A15" s="18" t="str">
        <x:v>E09</x:v>
      </x:c>
      <x:c r="B15" s="18" t="str">
        <x:v>B</x:v>
      </x:c>
      <x:c r="C15" s="18" t="str">
        <x:v>B003</x:v>
      </x:c>
      <x:c r="D15" s="18" t="n">
        <x:v>15</x:v>
      </x:c>
      <x:c r="E15" s="18" t="n">
        <x:v>70</x:v>
      </x:c>
      <x:c r="F15" s="18" t="str">
        <x:v>成功</x:v>
      </x:c>
      <x:c r="G15" s="18" t="n">
        <x:f>IF(F15="成功",1,0)</x:f>
        <x:v>1</x:v>
      </x:c>
      <x:c r="H15" s="18" t="str">
        <x:f>IF(OR(A15="",C15="",D15=""),"关键字段缺失",IF(F15&lt;&gt;"成功","交易未成功",IF(OR(D15&lt;0,D15&gt;60),"观察窗外",IF(AND(ISNUMBER(E15),E15&lt;=67),"已冲正",IF(COUNTIFS($A$7:A15,A15)&gt;1,"重复事件",IF(COUNTIFS($C$7:C14,C15,$J$7:J14,1)&gt;0,"同人重复","有效"))))))</x:f>
        <x:v>有效</x:v>
      </x:c>
      <x:c r="I15" s="18" t="n">
        <x:v>1</x:v>
      </x:c>
      <x:c r="J15" s="18" t="n">
        <x:f>IF(H15="关键字段缺失","待核",IF(H15="有效",1,0))</x:f>
        <x:v>1</x:v>
      </x:c>
      <x:c r="K15" s="18" t="str">
        <x:v>第70天冲正晚于核验截点；仅按第67天口径计</x:v>
      </x:c>
      <x:c r="L15" s="18" t="str">
        <x:f>IF(I15=J15,"一致","需检查")</x:f>
        <x:v>一致</x:v>
      </x:c>
    </x:row>
    <x:row r="16" ht="60" customHeight="1">
      <x:c r="A16" s="18" t="str">
        <x:v>E03</x:v>
      </x:c>
      <x:c r="B16" s="18" t="str">
        <x:v>T</x:v>
      </x:c>
      <x:c r="C16" s="18" t="str">
        <x:v>T001</x:v>
      </x:c>
      <x:c r="D16" s="18" t="n">
        <x:v>20</x:v>
      </x:c>
      <x:c r="E16" s="18"/>
      <x:c r="F16" s="18" t="str">
        <x:v>成功</x:v>
      </x:c>
      <x:c r="G16" s="18" t="n">
        <x:f>IF(F16="成功",1,0)</x:f>
        <x:v>1</x:v>
      </x:c>
      <x:c r="H16" s="18" t="str">
        <x:f>IF(OR(A16="",C16="",D16=""),"关键字段缺失",IF(F16&lt;&gt;"成功","交易未成功",IF(OR(D16&lt;0,D16&gt;60),"观察窗外",IF(AND(ISNUMBER(E16),E16&lt;=67),"已冲正",IF(COUNTIFS($A$7:A16,A16)&gt;1,"重复事件",IF(COUNTIFS($C$7:C15,C16,$J$7:J15,1)&gt;0,"同人重复","有效"))))))</x:f>
        <x:v>重复事件</x:v>
      </x:c>
      <x:c r="I16" s="18" t="n">
        <x:v>0</x:v>
      </x:c>
      <x:c r="J16" s="18" t="n">
        <x:f>IF(H16="关键字段缺失","待核",IF(H16="有效",1,0))</x:f>
        <x:v>0</x:v>
      </x:c>
      <x:c r="K16" s="18" t="str">
        <x:v>事件重复回传</x:v>
      </x:c>
      <x:c r="L16" s="18" t="str">
        <x:f>IF(I16=J16,"一致","需检查")</x:f>
        <x:v>一致</x:v>
      </x:c>
    </x:row>
    <x:row r="17" ht="60" customHeight="1">
      <x:c r="A17" s="18"/>
      <x:c r="B17" s="18" t="str">
        <x:v>T</x:v>
      </x:c>
      <x:c r="C17" s="18" t="str">
        <x:v>T006</x:v>
      </x:c>
      <x:c r="D17" s="18" t="n">
        <x:v>35</x:v>
      </x:c>
      <x:c r="E17" s="18"/>
      <x:c r="F17" s="18" t="str">
        <x:v>成功</x:v>
      </x:c>
      <x:c r="G17" s="18" t="n">
        <x:f>IF(F17="成功",1,0)</x:f>
        <x:v>1</x:v>
      </x:c>
      <x:c r="H17" s="18" t="str">
        <x:f>IF(OR(A17="",C17="",D17=""),"关键字段缺失",IF(F17&lt;&gt;"成功","交易未成功",IF(OR(D17&lt;0,D17&gt;60),"观察窗外",IF(AND(ISNUMBER(E17),E17&lt;=67),"已冲正",IF(COUNTIFS($A$7:A17,A17)&gt;1,"重复事件",IF(COUNTIFS($C$7:C16,C17,$J$7:J16,1)&gt;0,"同人重复","有效"))))))</x:f>
        <x:v>关键字段缺失</x:v>
      </x:c>
      <x:c r="I17" s="18" t="str">
        <x:v>待核</x:v>
      </x:c>
      <x:c r="J17" s="18" t="str">
        <x:f>IF(H17="关键字段缺失","待核",IF(H17="有效",1,0))</x:f>
        <x:v>待核</x:v>
      </x:c>
      <x:c r="K17" s="18" t="str">
        <x:v>缺事件ID，不能从成功字段认定结果</x:v>
      </x:c>
      <x:c r="L17" s="18" t="str">
        <x:f>IF(I17=J17,"一致","需检查")</x:f>
        <x:v>一致</x:v>
      </x:c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 ht="3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 ht="38" customHeight="1">
      <x:c r="A20" s="6" t="str">
        <x:v>指标</x:v>
      </x:c>
      <x:c r="B20" s="6" t="str">
        <x:v>B臂</x:v>
      </x:c>
      <x:c r="C20" s="6" t="str">
        <x:v>T臂</x:v>
      </x:c>
      <x:c r="D20" s="6" t="str">
        <x:v>T−B率差</x:v>
      </x:c>
      <x:c r="E20" s="6" t="str">
        <x:v>口径</x:v>
      </x:c>
      <x:c r="F20" s="6" t="str">
        <x:v>解释</x:v>
      </x:c>
      <x:c r="G20" s="13"/>
      <x:c r="H20" s="13"/>
      <x:c r="I20" s="13"/>
      <x:c r="J20" s="13"/>
      <x:c r="K20" s="13"/>
      <x:c r="L20" s="13"/>
    </x:row>
    <x:row r="21" ht="64" customHeight="1">
      <x:c r="A21" s="18" t="str">
        <x:v>入组分母</x:v>
      </x:c>
      <x:c r="B21" s="18" t="n">
        <x:v>100</x:v>
      </x:c>
      <x:c r="C21" s="18" t="n">
        <x:v>100</x:v>
      </x:c>
      <x:c r="D21" s="18"/>
      <x:c r="E21" s="18" t="str">
        <x:v>演示定义</x:v>
      </x:c>
      <x:c r="F21" s="18" t="str">
        <x:v>随机臂分母保留，待核客户不移出</x:v>
      </x:c>
      <x:c r="G21" s="13"/>
      <x:c r="H21" s="13"/>
      <x:c r="I21" s="13"/>
      <x:c r="J21" s="13"/>
      <x:c r="K21" s="13"/>
      <x:c r="L21" s="13"/>
    </x:row>
    <x:row r="22" ht="64" customHeight="1">
      <x:c r="A22" s="18" t="str">
        <x:v>故障计数</x:v>
      </x:c>
      <x:c r="B22" s="18" t="n">
        <x:f>SUMIFS(G7:G17,B7:B17,"B")</x:f>
        <x:v>4</x:v>
      </x:c>
      <x:c r="C22" s="18" t="n">
        <x:f>SUMIFS(G7:G17,B7:B17,"T")</x:f>
        <x:v>6</x:v>
      </x:c>
      <x:c r="D22" s="21" t="n">
        <x:f>C22/C21-B22/B21</x:f>
        <x:v>0.019999999999999997</x:v>
      </x:c>
      <x:c r="E22" s="18"/>
      <x:c r="F22" s="18"/>
      <x:c r="G22" s="13"/>
      <x:c r="H22" s="13"/>
      <x:c r="I22" s="13"/>
      <x:c r="J22" s="13"/>
      <x:c r="K22" s="13"/>
      <x:c r="L22" s="13"/>
    </x:row>
    <x:row r="23" ht="64" customHeight="1">
      <x:c r="A23" s="18" t="str">
        <x:v>已确认有效人数</x:v>
      </x:c>
      <x:c r="B23" s="18" t="n">
        <x:f>SUMIFS(J7:J17,B7:B17,"B")</x:f>
        <x:v>3</x:v>
      </x:c>
      <x:c r="C23" s="18" t="n">
        <x:f>SUMIFS(J7:J17,B7:B17,"T")</x:f>
        <x:v>2</x:v>
      </x:c>
      <x:c r="D23" s="21" t="n">
        <x:f>C23/C21-B23/B21</x:f>
        <x:v>-0.009999999999999998</x:v>
      </x:c>
      <x:c r="E23" s="18"/>
      <x:c r="F23" s="18" t="str">
        <x:v>D列是已确认部分，不是完整效果结论</x:v>
      </x:c>
      <x:c r="G23" s="13"/>
      <x:c r="H23" s="13"/>
      <x:c r="I23" s="13"/>
      <x:c r="J23" s="13"/>
      <x:c r="K23" s="13"/>
      <x:c r="L23" s="13"/>
    </x:row>
    <x:row r="24" ht="64" customHeight="1">
      <x:c r="A24" s="18" t="str">
        <x:v>待核客户数</x:v>
      </x:c>
      <x:c r="B24" s="18" t="n">
        <x:f>COUNTIFS(B7:B17,"B",J7:J17,"待核")</x:f>
        <x:v>0</x:v>
      </x:c>
      <x:c r="C24" s="18" t="n">
        <x:f>COUNTIFS(B7:B17,"T",J7:J17,"待核")</x:f>
        <x:v>1</x:v>
      </x:c>
      <x:c r="D24" s="21"/>
      <x:c r="E24" s="18"/>
      <x:c r="F24" s="18"/>
      <x:c r="G24" s="13"/>
      <x:c r="H24" s="13"/>
      <x:c r="I24" s="13"/>
      <x:c r="J24" s="13"/>
      <x:c r="K24" s="13"/>
      <x:c r="L24" s="13"/>
    </x:row>
    <x:row r="25" ht="64" customHeight="1">
      <x:c r="A25" s="18" t="str">
        <x:v>率差逻辑下界</x:v>
      </x:c>
      <x:c r="B25" s="18"/>
      <x:c r="C25" s="18"/>
      <x:c r="D25" s="21" t="n">
        <x:f>C23/C21-(B23+B24)/B21</x:f>
        <x:v>-0.009999999999999998</x:v>
      </x:c>
      <x:c r="E25" s="18"/>
      <x:c r="F25" s="18"/>
      <x:c r="G25" s="13"/>
      <x:c r="H25" s="13"/>
      <x:c r="I25" s="13"/>
      <x:c r="J25" s="13"/>
      <x:c r="K25" s="13"/>
      <x:c r="L25" s="13"/>
    </x:row>
    <x:row r="26" ht="64" customHeight="1">
      <x:c r="A26" s="18" t="str">
        <x:v>率差逻辑上界</x:v>
      </x:c>
      <x:c r="B26" s="18"/>
      <x:c r="C26" s="18"/>
      <x:c r="D26" s="21" t="n">
        <x:f>(C23+C24)/C21-B23/B21</x:f>
        <x:v>0</x:v>
      </x:c>
      <x:c r="E26" s="18"/>
      <x:c r="F26" s="18"/>
      <x:c r="G26" s="13"/>
      <x:c r="H26" s="13"/>
      <x:c r="I26" s="13"/>
      <x:c r="J26" s="13"/>
      <x:c r="K26" s="13"/>
      <x:c r="L26" s="13"/>
    </x:row>
    <x:row r="27" ht="3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 ht="3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 ht="30" customHeight="1">
      <x:c r="A29" s="13" t="str">
        <x:v>故障规则按成功流水条数计数；复算按事件、自然人、观察窗和冲正口径处理，分母保持不变。</x:v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 ht="30" customHeight="1">
      <x:c r="A30" s="13" t="str">
        <x:v>上下界只把待核客户分别视作有／无首缴，属于逻辑边界；不是统计置信区间、真实效果或显著性。</x:v>
      </x:c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 ht="3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 ht="3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 ht="3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 ht="3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 ht="3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 ht="3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 ht="3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 ht="3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 ht="3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 ht="3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 ht="30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 ht="30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 ht="30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 ht="30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 ht="30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 ht="30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 ht="30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 ht="30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3" hidden="0" customWidth="1"/>
    <x:col min="4" max="4" width="23" hidden="0" customWidth="1"/>
    <x:col min="5" max="5" width="28" hidden="0" customWidth="1"/>
    <x:col min="6" max="6" width="25" hidden="0" customWidth="1"/>
    <x:col min="7" max="7" width="26" hidden="0" customWidth="1"/>
    <x:col min="8" max="8" width="26" hidden="0" customWidth="1"/>
    <x:col min="9" max="9" width="54" hidden="0" customWidth="1"/>
  </x:cols>
  <x:sheetData>
    <x:row r="1" ht="30" customHeight="1">
      <x:c r="A1" s="13"/>
      <x:c r="B1" s="13"/>
      <x:c r="C1" s="13"/>
      <x:c r="D1" s="13"/>
      <x:c r="E1" s="13"/>
      <x:c r="F1" s="13"/>
      <x:c r="G1" s="13"/>
      <x:c r="H1" s="13"/>
      <x:c r="I1" s="13"/>
    </x:row>
    <x:row r="2" ht="30" customHeight="1">
      <x:c r="A2" s="14" t="str">
        <x:v>成本申报模拟复核</x:v>
      </x:c>
      <x:c r="B2" s="13"/>
      <x:c r="C2" s="13"/>
      <x:c r="D2" s="13"/>
      <x:c r="E2" s="13"/>
      <x:c r="F2" s="13"/>
      <x:c r="G2" s="13"/>
      <x:c r="H2" s="13"/>
      <x:c r="I2" s="13"/>
    </x:row>
    <x:row r="3" ht="30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4" ht="30" customHeight="1">
      <x:c r="A4" s="13" t="str">
        <x:v>虚构费用记录与支持金额，90天评价期。建设3000元是本底稿假设，不是原方案合计的事实拆分。</x:v>
      </x:c>
      <x:c r="B4" s="13"/>
      <x:c r="C4" s="13"/>
      <x:c r="D4" s="13"/>
      <x:c r="E4" s="13"/>
      <x:c r="F4" s="13"/>
      <x:c r="G4" s="13"/>
      <x:c r="H4" s="13"/>
      <x:c r="I4" s="13"/>
    </x:row>
    <x:row r="5" ht="30" customHeight="1">
      <x:c r="A5" s="13"/>
      <x:c r="B5" s="13"/>
      <x:c r="C5" s="13"/>
      <x:c r="D5" s="13"/>
      <x:c r="E5" s="13"/>
      <x:c r="F5" s="13"/>
      <x:c r="G5" s="13"/>
      <x:c r="H5" s="13"/>
      <x:c r="I5" s="13"/>
    </x:row>
    <x:row r="6" ht="38" customHeight="1">
      <x:c r="A6" s="6" t="str">
        <x:v>费用ID</x:v>
      </x:c>
      <x:c r="B6" s="6" t="str">
        <x:v>费用类别</x:v>
      </x:c>
      <x:c r="C6" s="6" t="str">
        <x:v>申报金额</x:v>
      </x:c>
      <x:c r="D6" s="6" t="str">
        <x:v>支持金额</x:v>
      </x:c>
      <x:c r="E6" s="6" t="str">
        <x:v>费用范围</x:v>
      </x:c>
      <x:c r="F6" s="6" t="str">
        <x:v>时间范围</x:v>
      </x:c>
      <x:c r="G6" s="6" t="str">
        <x:v>应归属金额</x:v>
      </x:c>
      <x:c r="H6" s="6" t="str">
        <x:v>申报差异</x:v>
      </x:c>
      <x:c r="I6" s="6" t="str">
        <x:v>复核解释</x:v>
      </x:c>
    </x:row>
    <x:row r="7" ht="56" customHeight="1">
      <x:c r="A7" s="18" t="str">
        <x:v>K01</x:v>
      </x:c>
      <x:c r="B7" s="18" t="str">
        <x:v>渠道</x:v>
      </x:c>
      <x:c r="C7" s="23" t="n">
        <x:v>5000</x:v>
      </x:c>
      <x:c r="D7" s="23" t="n">
        <x:v>5000</x:v>
      </x:c>
      <x:c r="E7" s="18" t="str">
        <x:v>本项目</x:v>
      </x:c>
      <x:c r="F7" s="18" t="str">
        <x:v>评价期内</x:v>
      </x:c>
      <x:c r="G7" s="23" t="n">
        <x:f>IF(D7="","待核",IF(OR(E7&lt;&gt;"本项目",F7&lt;&gt;"评价期内",COUNTIFS($A$7:A7,A7)&gt;1),0,D7))</x:f>
        <x:v>5000</x:v>
      </x:c>
      <x:c r="H7" s="23" t="n">
        <x:f>IF(ISNUMBER(G7),C7-G7,"待核")</x:f>
        <x:v>0</x:v>
      </x:c>
      <x:c r="I7" s="18" t="str">
        <x:v>与当前方案配对</x:v>
      </x:c>
    </x:row>
    <x:row r="8" ht="56" customHeight="1">
      <x:c r="A8" s="18" t="str">
        <x:v>K02</x:v>
      </x:c>
      <x:c r="B8" s="18" t="str">
        <x:v>人工服务</x:v>
      </x:c>
      <x:c r="C8" s="23" t="n">
        <x:v>5000</x:v>
      </x:c>
      <x:c r="D8" s="23" t="n">
        <x:v>5000</x:v>
      </x:c>
      <x:c r="E8" s="18" t="str">
        <x:v>本项目</x:v>
      </x:c>
      <x:c r="F8" s="18" t="str">
        <x:v>评价期内</x:v>
      </x:c>
      <x:c r="G8" s="23" t="n">
        <x:f>IF(D8="","待核",IF(OR(E8&lt;&gt;"本项目",F8&lt;&gt;"评价期内",COUNTIFS($A$7:A8,A8)&gt;1),0,D8))</x:f>
        <x:v>5000</x:v>
      </x:c>
      <x:c r="H8" s="23" t="n">
        <x:f>IF(ISNUMBER(G8),C8-G8,"待核")</x:f>
        <x:v>0</x:v>
      </x:c>
      <x:c r="I8" s="18" t="str">
        <x:v>本项已包含返工150元</x:v>
      </x:c>
    </x:row>
    <x:row r="9" ht="56" customHeight="1">
      <x:c r="A9" s="18" t="str">
        <x:v>K03</x:v>
      </x:c>
      <x:c r="B9" s="18" t="str">
        <x:v>建设分摊</x:v>
      </x:c>
      <x:c r="C9" s="23" t="n">
        <x:v>3000</x:v>
      </x:c>
      <x:c r="D9" s="23" t="n">
        <x:v>3000</x:v>
      </x:c>
      <x:c r="E9" s="18" t="str">
        <x:v>本项目</x:v>
      </x:c>
      <x:c r="F9" s="18" t="str">
        <x:v>评价期内</x:v>
      </x:c>
      <x:c r="G9" s="23" t="n">
        <x:f>IF(D9="","待核",IF(OR(E9&lt;&gt;"本项目",F9&lt;&gt;"评价期内",COUNTIFS($A$7:A9,A9)&gt;1),0,D9))</x:f>
        <x:v>3000</x:v>
      </x:c>
      <x:c r="H9" s="23" t="n">
        <x:f>IF(ISNUMBER(G9),C9-G9,"待核")</x:f>
        <x:v>0</x:v>
      </x:c>
      <x:c r="I9" s="18" t="str">
        <x:v>本底稿的独立演示假设</x:v>
      </x:c>
    </x:row>
    <x:row r="10" ht="56" customHeight="1">
      <x:c r="A10" s="18" t="str">
        <x:v>K03</x:v>
      </x:c>
      <x:c r="B10" s="18" t="str">
        <x:v>重复建设分摊</x:v>
      </x:c>
      <x:c r="C10" s="23" t="n">
        <x:v>3000</x:v>
      </x:c>
      <x:c r="D10" s="23" t="n">
        <x:v>3000</x:v>
      </x:c>
      <x:c r="E10" s="18" t="str">
        <x:v>本项目</x:v>
      </x:c>
      <x:c r="F10" s="18" t="str">
        <x:v>评价期内</x:v>
      </x:c>
      <x:c r="G10" s="23" t="n">
        <x:f>IF(D10="","待核",IF(OR(E10&lt;&gt;"本项目",F10&lt;&gt;"评价期内",COUNTIFS($A$7:A10,A10)&gt;1),0,D10))</x:f>
        <x:v>0</x:v>
      </x:c>
      <x:c r="H10" s="23" t="n">
        <x:f>IF(ISNUMBER(G10),C10-G10,"待核")</x:f>
        <x:v>3000</x:v>
      </x:c>
      <x:c r="I10" s="18" t="str">
        <x:v>同费用ID再次申报</x:v>
      </x:c>
    </x:row>
    <x:row r="11" ht="56" customHeight="1">
      <x:c r="A11" s="18" t="str">
        <x:v>K04</x:v>
      </x:c>
      <x:c r="B11" s="18" t="str">
        <x:v>运维</x:v>
      </x:c>
      <x:c r="C11" s="23" t="n">
        <x:v>900</x:v>
      </x:c>
      <x:c r="D11" s="23" t="n">
        <x:v>900</x:v>
      </x:c>
      <x:c r="E11" s="18" t="str">
        <x:v>本项目</x:v>
      </x:c>
      <x:c r="F11" s="18" t="str">
        <x:v>评价期内</x:v>
      </x:c>
      <x:c r="G11" s="23" t="n">
        <x:f>IF(D11="","待核",IF(OR(E11&lt;&gt;"本项目",F11&lt;&gt;"评价期内",COUNTIFS($A$7:A11,A11)&gt;1),0,D11))</x:f>
        <x:v>900</x:v>
      </x:c>
      <x:c r="H11" s="23" t="n">
        <x:f>IF(ISNUMBER(G11),C11-G11,"待核")</x:f>
        <x:v>0</x:v>
      </x:c>
      <x:c r="I11" s="18" t="str">
        <x:v>3个月费用</x:v>
      </x:c>
    </x:row>
    <x:row r="12" ht="56" customHeight="1">
      <x:c r="A12" s="18" t="str">
        <x:v>K05</x:v>
      </x:c>
      <x:c r="B12" s="18" t="str">
        <x:v>内容审核</x:v>
      </x:c>
      <x:c r="C12" s="23" t="n">
        <x:v>0</x:v>
      </x:c>
      <x:c r="D12" s="23" t="n">
        <x:v>800</x:v>
      </x:c>
      <x:c r="E12" s="18" t="str">
        <x:v>本项目</x:v>
      </x:c>
      <x:c r="F12" s="18" t="str">
        <x:v>评价期内</x:v>
      </x:c>
      <x:c r="G12" s="23" t="n">
        <x:f>IF(D12="","待核",IF(OR(E12&lt;&gt;"本项目",F12&lt;&gt;"评价期内",COUNTIFS($A$7:A12,A12)&gt;1),0,D12))</x:f>
        <x:v>800</x:v>
      </x:c>
      <x:c r="H12" s="23" t="n">
        <x:f>IF(ISNUMBER(G12),C12-G12,"待核")</x:f>
        <x:v>-800</x:v>
      </x:c>
      <x:c r="I12" s="18" t="str">
        <x:v>有支持金额，申报漏列</x:v>
      </x:c>
    </x:row>
    <x:row r="13" ht="56" customHeight="1">
      <x:c r="A13" s="18" t="str">
        <x:v>K06</x:v>
      </x:c>
      <x:c r="B13" s="18" t="str">
        <x:v>保护事件处置</x:v>
      </x:c>
      <x:c r="C13" s="23" t="n">
        <x:v>0</x:v>
      </x:c>
      <x:c r="D13" s="23" t="n">
        <x:v>400</x:v>
      </x:c>
      <x:c r="E13" s="18" t="str">
        <x:v>本项目</x:v>
      </x:c>
      <x:c r="F13" s="18" t="str">
        <x:v>评价期内</x:v>
      </x:c>
      <x:c r="G13" s="23" t="n">
        <x:f>IF(D13="","待核",IF(OR(E13&lt;&gt;"本项目",F13&lt;&gt;"评价期内",COUNTIFS($A$7:A13,A13)&gt;1),0,D13))</x:f>
        <x:v>400</x:v>
      </x:c>
      <x:c r="H13" s="23" t="n">
        <x:f>IF(ISNUMBER(G13),C13-G13,"待核")</x:f>
        <x:v>-400</x:v>
      </x:c>
      <x:c r="I13" s="18" t="str">
        <x:v>有支持金额，申报漏列</x:v>
      </x:c>
    </x:row>
    <x:row r="14" ht="56" customHeight="1">
      <x:c r="A14" s="18" t="str">
        <x:v>K07</x:v>
      </x:c>
      <x:c r="B14" s="18" t="str">
        <x:v>返工</x:v>
      </x:c>
      <x:c r="C14" s="23" t="n">
        <x:v>150</x:v>
      </x:c>
      <x:c r="D14" s="23" t="n">
        <x:v>150</x:v>
      </x:c>
      <x:c r="E14" s="18" t="str">
        <x:v>已含人工</x:v>
      </x:c>
      <x:c r="F14" s="18" t="str">
        <x:v>评价期内</x:v>
      </x:c>
      <x:c r="G14" s="23" t="n">
        <x:f>IF(D14="","待核",IF(OR(E14&lt;&gt;"本项目",F14&lt;&gt;"评价期内",COUNTIFS($A$7:A14,A14)&gt;1),0,D14))</x:f>
        <x:v>0</x:v>
      </x:c>
      <x:c r="H14" s="23" t="n">
        <x:f>IF(ISNUMBER(G14),C14-G14,"待核")</x:f>
        <x:v>150</x:v>
      </x:c>
      <x:c r="I14" s="18" t="str">
        <x:v>已在K02内，不能再计一次</x:v>
      </x:c>
    </x:row>
    <x:row r="15" ht="56" customHeight="1">
      <x:c r="A15" s="18" t="str">
        <x:v>K08</x:v>
      </x:c>
      <x:c r="B15" s="18" t="str">
        <x:v>其他项目调研</x:v>
      </x:c>
      <x:c r="C15" s="23" t="n">
        <x:v>1200</x:v>
      </x:c>
      <x:c r="D15" s="23" t="n">
        <x:v>1200</x:v>
      </x:c>
      <x:c r="E15" s="18" t="str">
        <x:v>其他项目</x:v>
      </x:c>
      <x:c r="F15" s="18" t="str">
        <x:v>评价期内</x:v>
      </x:c>
      <x:c r="G15" s="23" t="n">
        <x:f>IF(D15="","待核",IF(OR(E15&lt;&gt;"本项目",F15&lt;&gt;"评价期内",COUNTIFS($A$7:A15,A15)&gt;1),0,D15))</x:f>
        <x:v>0</x:v>
      </x:c>
      <x:c r="H15" s="23" t="n">
        <x:f>IF(ISNUMBER(G15),C15-G15,"待核")</x:f>
        <x:v>1200</x:v>
      </x:c>
      <x:c r="I15" s="18" t="str">
        <x:v>不归属本次比较</x:v>
      </x:c>
    </x:row>
    <x:row r="16" ht="56" customHeight="1">
      <x:c r="A16" s="18" t="str">
        <x:v>K09</x:v>
      </x:c>
      <x:c r="B16" s="18" t="str">
        <x:v>未来维护</x:v>
      </x:c>
      <x:c r="C16" s="23" t="n">
        <x:v>600</x:v>
      </x:c>
      <x:c r="D16" s="23" t="n">
        <x:v>600</x:v>
      </x:c>
      <x:c r="E16" s="18" t="str">
        <x:v>本项目</x:v>
      </x:c>
      <x:c r="F16" s="18" t="str">
        <x:v>评价期外</x:v>
      </x:c>
      <x:c r="G16" s="23" t="n">
        <x:f>IF(D16="","待核",IF(OR(E16&lt;&gt;"本项目",F16&lt;&gt;"评价期内",COUNTIFS($A$7:A16,A16)&gt;1),0,D16))</x:f>
        <x:v>0</x:v>
      </x:c>
      <x:c r="H16" s="23" t="n">
        <x:f>IF(ISNUMBER(G16),C16-G16,"待核")</x:f>
        <x:v>600</x:v>
      </x:c>
      <x:c r="I16" s="18" t="str">
        <x:v>不属当前评价窗口；未来预算另行列示</x:v>
      </x:c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  <x:c r="I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</x:row>
    <x:row r="19" ht="30" customHeight="1">
      <x:c r="A19" s="13" t="str">
        <x:v>申报总额</x:v>
      </x:c>
      <x:c r="B19" s="13"/>
      <x:c r="C19" s="22" t="n">
        <x:f>SUM(C7:C16)</x:f>
        <x:v>18850</x:v>
      </x:c>
      <x:c r="D19" s="13"/>
      <x:c r="E19" s="13"/>
      <x:c r="F19" s="13"/>
      <x:c r="G19" s="13"/>
      <x:c r="H19" s="13"/>
      <x:c r="I19" s="13"/>
    </x:row>
    <x:row r="20" ht="30" customHeight="1">
      <x:c r="A20" s="13" t="str">
        <x:v>已确认归属成本</x:v>
      </x:c>
      <x:c r="B20" s="13"/>
      <x:c r="C20" s="22" t="n">
        <x:f>IF(COUNTIFS(G7:G16,"待核")&gt;0,"待核",SUM(G7:G16))</x:f>
        <x:v>15100</x:v>
      </x:c>
      <x:c r="D20" s="13"/>
      <x:c r="E20" s="13"/>
      <x:c r="F20" s="13"/>
      <x:c r="G20" s="13"/>
      <x:c r="H20" s="13"/>
      <x:c r="I20" s="13"/>
    </x:row>
    <x:row r="21" ht="30" customHeight="1">
      <x:c r="A21" s="13" t="str">
        <x:v>净申报高估</x:v>
      </x:c>
      <x:c r="B21" s="13"/>
      <x:c r="C21" s="22" t="n">
        <x:f>IF(ISNUMBER(C20),C19-C20,"待核")</x:f>
        <x:v>3750</x:v>
      </x:c>
      <x:c r="D21" s="13"/>
      <x:c r="E21" s="13"/>
      <x:c r="F21" s="13"/>
      <x:c r="G21" s="13"/>
      <x:c r="H21" s="13"/>
      <x:c r="I21" s="13"/>
    </x:row>
    <x:row r="22" ht="30" customHeight="1">
      <x:c r="A22" s="13" t="str">
        <x:v>漏列成本</x:v>
      </x:c>
      <x:c r="B22" s="13"/>
      <x:c r="C22" s="22" t="n">
        <x:f>SUMIFS(G7:G16,C7:C16,0)</x:f>
        <x:v>1200</x:v>
      </x:c>
      <x:c r="D22" s="13"/>
      <x:c r="E22" s="13"/>
      <x:c r="F22" s="13"/>
      <x:c r="G22" s="13"/>
      <x:c r="H22" s="13"/>
      <x:c r="I22" s="13"/>
    </x:row>
    <x:row r="23" ht="30" customHeight="1">
      <x:c r="A23" s="13"/>
      <x:c r="B23" s="13"/>
      <x:c r="C23" s="13"/>
      <x:c r="D23" s="13"/>
      <x:c r="E23" s="13"/>
      <x:c r="F23" s="13"/>
      <x:c r="G23" s="13"/>
      <x:c r="H23" s="13"/>
      <x:c r="I23" s="13"/>
    </x:row>
    <x:row r="24" ht="30" customHeight="1">
      <x:c r="A24" s="13"/>
      <x:c r="B24" s="13"/>
      <x:c r="C24" s="13"/>
      <x:c r="D24" s="13"/>
      <x:c r="E24" s="13"/>
      <x:c r="F24" s="13"/>
      <x:c r="G24" s="13"/>
      <x:c r="H24" s="13"/>
      <x:c r="I24" s="13"/>
    </x:row>
    <x:row r="25" ht="30" customHeight="1">
      <x:c r="A25" s="13" t="str">
        <x:v>净申报高估不能掩盖漏列：需同时删除重复和错配费用，补列审核及保护处置。</x:v>
      </x:c>
      <x:c r="B25" s="13"/>
      <x:c r="C25" s="13"/>
      <x:c r="D25" s="13"/>
      <x:c r="E25" s="13"/>
      <x:c r="F25" s="13"/>
      <x:c r="G25" s="13"/>
      <x:c r="H25" s="13"/>
      <x:c r="I25" s="13"/>
    </x:row>
    <x:row r="26" ht="30" customHeight="1">
      <x:c r="A26" s="13" t="str">
        <x:v>费用ID去重仅为演示。真实还需核供应商、合同、账单、分摊、工时与入账期间，ID不同也可能重复。</x:v>
      </x:c>
      <x:c r="B26" s="13"/>
      <x:c r="C26" s="13"/>
      <x:c r="D26" s="13"/>
      <x:c r="E26" s="13"/>
      <x:c r="F26" s="13"/>
      <x:c r="G26" s="13"/>
      <x:c r="H26" s="13"/>
      <x:c r="I26" s="13"/>
    </x:row>
    <x:row r="27" ht="30" customHeight="1">
      <x:c r="A27" s="13"/>
      <x:c r="B27" s="13"/>
      <x:c r="C27" s="13"/>
      <x:c r="D27" s="13"/>
      <x:c r="E27" s="13"/>
      <x:c r="F27" s="13"/>
      <x:c r="G27" s="13"/>
      <x:c r="H27" s="13"/>
      <x:c r="I27" s="13"/>
    </x:row>
    <x:row r="28" ht="30" customHeight="1">
      <x:c r="A28" s="13"/>
      <x:c r="B28" s="13"/>
      <x:c r="C28" s="13"/>
      <x:c r="D28" s="13"/>
      <x:c r="E28" s="13"/>
      <x:c r="F28" s="13"/>
      <x:c r="G28" s="13"/>
      <x:c r="H28" s="13"/>
      <x:c r="I28" s="13"/>
    </x:row>
    <x:row r="29" ht="30" customHeight="1">
      <x:c r="A29" s="13"/>
      <x:c r="B29" s="13"/>
      <x:c r="C29" s="13"/>
      <x:c r="D29" s="13"/>
      <x:c r="E29" s="13"/>
      <x:c r="F29" s="13"/>
      <x:c r="G29" s="13"/>
      <x:c r="H29" s="13"/>
      <x:c r="I29" s="13"/>
    </x:row>
    <x:row r="30" ht="30" customHeight="1">
      <x:c r="A30" s="13"/>
      <x:c r="B30" s="13"/>
      <x:c r="C30" s="13"/>
      <x:c r="D30" s="13"/>
      <x:c r="E30" s="13"/>
      <x:c r="F30" s="13"/>
      <x:c r="G30" s="13"/>
      <x:c r="H30" s="13"/>
      <x:c r="I30" s="13"/>
    </x:row>
    <x:row r="31" ht="30" customHeight="1">
      <x:c r="A31" s="13"/>
      <x:c r="B31" s="13"/>
      <x:c r="C31" s="13"/>
      <x:c r="D31" s="13"/>
      <x:c r="E31" s="13"/>
      <x:c r="F31" s="13"/>
      <x:c r="G31" s="13"/>
      <x:c r="H31" s="13"/>
      <x:c r="I31" s="13"/>
    </x:row>
    <x:row r="32" ht="30" customHeight="1">
      <x:c r="A32" s="13"/>
      <x:c r="B32" s="13"/>
      <x:c r="C32" s="13"/>
      <x:c r="D32" s="13"/>
      <x:c r="E32" s="13"/>
      <x:c r="F32" s="13"/>
      <x:c r="G32" s="13"/>
      <x:c r="H32" s="13"/>
      <x:c r="I32" s="13"/>
    </x:row>
    <x:row r="33" ht="30" customHeight="1">
      <x:c r="A33" s="13"/>
      <x:c r="B33" s="13"/>
      <x:c r="C33" s="13"/>
      <x:c r="D33" s="13"/>
      <x:c r="E33" s="13"/>
      <x:c r="F33" s="13"/>
      <x:c r="G33" s="13"/>
      <x:c r="H33" s="13"/>
      <x:c r="I33" s="13"/>
    </x:row>
    <x:row r="34" ht="30" customHeight="1">
      <x:c r="A34" s="13"/>
      <x:c r="B34" s="13"/>
      <x:c r="C34" s="13"/>
      <x:c r="D34" s="13"/>
      <x:c r="E34" s="13"/>
      <x:c r="F34" s="13"/>
      <x:c r="G34" s="13"/>
      <x:c r="H34" s="13"/>
      <x:c r="I34" s="13"/>
    </x:row>
    <x:row r="35" ht="30" customHeight="1">
      <x:c r="A35" s="13"/>
      <x:c r="B35" s="13"/>
      <x:c r="C35" s="13"/>
      <x:c r="D35" s="13"/>
      <x:c r="E35" s="13"/>
      <x:c r="F35" s="13"/>
      <x:c r="G35" s="13"/>
      <x:c r="H35" s="13"/>
      <x:c r="I35" s="13"/>
    </x:row>
    <x:row r="36" ht="30" customHeight="1">
      <x:c r="A36" s="13"/>
      <x:c r="B36" s="13"/>
      <x:c r="C36" s="13"/>
      <x:c r="D36" s="13"/>
      <x:c r="E36" s="13"/>
      <x:c r="F36" s="13"/>
      <x:c r="G36" s="13"/>
      <x:c r="H36" s="13"/>
      <x:c r="I36" s="13"/>
    </x:row>
    <x:row r="37" ht="30" customHeight="1">
      <x:c r="A37" s="13"/>
      <x:c r="B37" s="13"/>
      <x:c r="C37" s="13"/>
      <x:c r="D37" s="13"/>
      <x:c r="E37" s="13"/>
      <x:c r="F37" s="13"/>
      <x:c r="G37" s="13"/>
      <x:c r="H37" s="13"/>
      <x:c r="I37" s="13"/>
    </x:row>
    <x:row r="38" ht="30" customHeight="1">
      <x:c r="A38" s="13"/>
      <x:c r="B38" s="13"/>
      <x:c r="C38" s="13"/>
      <x:c r="D38" s="13"/>
      <x:c r="E38" s="13"/>
      <x:c r="F38" s="13"/>
      <x:c r="G38" s="13"/>
      <x:c r="H38" s="13"/>
      <x:c r="I38" s="13"/>
    </x:row>
    <x:row r="39" ht="30" customHeight="1">
      <x:c r="A39" s="13"/>
      <x:c r="B39" s="13"/>
      <x:c r="C39" s="13"/>
      <x:c r="D39" s="13"/>
      <x:c r="E39" s="13"/>
      <x:c r="F39" s="13"/>
      <x:c r="G39" s="13"/>
      <x:c r="H39" s="13"/>
      <x:c r="I39" s="13"/>
    </x:row>
    <x:row r="40" ht="30" customHeight="1">
      <x:c r="A40" s="13"/>
      <x:c r="B40" s="13"/>
      <x:c r="C40" s="13"/>
      <x:c r="D40" s="13"/>
      <x:c r="E40" s="13"/>
      <x:c r="F40" s="13"/>
      <x:c r="G40" s="13"/>
      <x:c r="H40" s="13"/>
      <x:c r="I40" s="13"/>
    </x:row>
    <x:row r="41" ht="30" customHeight="1">
      <x:c r="A41" s="13"/>
      <x:c r="B41" s="13"/>
      <x:c r="C41" s="13"/>
      <x:c r="D41" s="13"/>
      <x:c r="E41" s="13"/>
      <x:c r="F41" s="13"/>
      <x:c r="G41" s="13"/>
      <x:c r="H41" s="13"/>
      <x:c r="I41" s="13"/>
    </x:row>
    <x:row r="42" ht="30" customHeight="1">
      <x:c r="A42" s="13"/>
      <x:c r="B42" s="13"/>
      <x:c r="C42" s="13"/>
      <x:c r="D42" s="13"/>
      <x:c r="E42" s="13"/>
      <x:c r="F42" s="13"/>
      <x:c r="G42" s="13"/>
      <x:c r="H42" s="13"/>
      <x:c r="I42" s="13"/>
    </x:row>
    <x:row r="43" ht="30" customHeight="1">
      <x:c r="A43" s="13"/>
      <x:c r="B43" s="13"/>
      <x:c r="C43" s="13"/>
      <x:c r="D43" s="13"/>
      <x:c r="E43" s="13"/>
      <x:c r="F43" s="13"/>
      <x:c r="G43" s="13"/>
      <x:c r="H43" s="13"/>
      <x:c r="I43" s="13"/>
    </x:row>
    <x:row r="44" ht="30" customHeight="1">
      <x:c r="A44" s="13"/>
      <x:c r="B44" s="13"/>
      <x:c r="C44" s="13"/>
      <x:c r="D44" s="13"/>
      <x:c r="E44" s="13"/>
      <x:c r="F44" s="13"/>
      <x:c r="G44" s="13"/>
      <x:c r="H44" s="13"/>
      <x:c r="I44" s="13"/>
    </x:row>
    <x:row r="45" ht="30" customHeight="1">
      <x:c r="A45" s="13"/>
      <x:c r="B45" s="13"/>
      <x:c r="C45" s="13"/>
      <x:c r="D45" s="13"/>
      <x:c r="E45" s="13"/>
      <x:c r="F45" s="13"/>
      <x:c r="G45" s="13"/>
      <x:c r="H45" s="13"/>
      <x:c r="I45" s="13"/>
    </x:row>
    <x:row r="46" ht="30" customHeight="1">
      <x:c r="A46" s="13"/>
      <x:c r="B46" s="13"/>
      <x:c r="C46" s="13"/>
      <x:c r="D46" s="13"/>
      <x:c r="E46" s="13"/>
      <x:c r="F46" s="13"/>
      <x:c r="G46" s="13"/>
      <x:c r="H46" s="13"/>
      <x:c r="I46" s="13"/>
    </x:row>
    <x:row r="47" ht="30" customHeight="1">
      <x:c r="A47" s="13"/>
      <x:c r="B47" s="13"/>
      <x:c r="C47" s="13"/>
      <x:c r="D47" s="13"/>
      <x:c r="E47" s="13"/>
      <x:c r="F47" s="13"/>
      <x:c r="G47" s="13"/>
      <x:c r="H47" s="13"/>
      <x:c r="I47" s="13"/>
    </x:row>
    <x:row r="48" ht="30" customHeight="1">
      <x:c r="A48" s="13"/>
      <x:c r="B48" s="13"/>
      <x:c r="C48" s="13"/>
      <x:c r="D48" s="13"/>
      <x:c r="E48" s="13"/>
      <x:c r="F48" s="13"/>
      <x:c r="G48" s="13"/>
      <x:c r="H48" s="13"/>
      <x:c r="I48" s="13"/>
    </x:row>
  </x:sheetData>
  <x:pageMargins left="0.7" right="0.7" top="0.75" bottom="0.75" header="0.3" footer="0.3"/>
</x:worksheet>
</file>